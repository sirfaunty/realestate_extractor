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9"/>
  </bookViews>
  <sheets>
    <sheet name="README" sheetId="1" state="visible" r:id="rId3"/>
    <sheet name="Assumptions" sheetId="2" state="visible" r:id="rId4"/>
    <sheet name="Inputs_TMV" sheetId="3" state="visible" r:id="rId5"/>
    <sheet name="Attorney_Fees" sheetId="4" state="visible" r:id="rId6"/>
    <sheet name="Engine_Current" sheetId="5" state="visible" r:id="rId7"/>
    <sheet name="Engine_Mid_Appeal" sheetId="6" state="visible" r:id="rId8"/>
    <sheet name="Engine_Agg_Appeal" sheetId="7" state="visible" r:id="rId9"/>
    <sheet name="Engine_MAA_Floor" sheetId="8" state="visible" r:id="rId10"/>
    <sheet name="Scenario_Compare" sheetId="9" state="visible" r:id="rId11"/>
    <sheet name="Scenario_Analysis_4Cases" sheetId="10" state="visible" r:id="rId12"/>
    <sheet name="Note_Payoff_Breakeven" sheetId="11" state="visible" r:id="rId13"/>
    <sheet name="Ehlers_Recon" sheetId="12" state="visible" r:id="rId14"/>
    <sheet name="Sensitivity_Appeal" sheetId="13" state="visible" r:id="rId15"/>
    <sheet name="Notes_vs_IDP_Model"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<sst xmlns="http://schemas.openxmlformats.org/spreadsheetml/2006/main" count="619" uniqueCount="413">
  <si>
    <t xml:space="preserve">Chamberlain Apartments — Live TIF / Tax Appeal Model</t>
  </si>
  <si>
    <t xml:space="preserve">Built by KA Asset Management — May 2026</t>
  </si>
  <si>
    <t xml:space="preserve">Methodology source: Ehlers tax appeal analysis (published in Chamberlain TIF Update, 11/8/25)</t>
  </si>
  <si>
    <t xml:space="preserve">Contractual source: Recorded Minimum Assessment Agreement (Hennepin County T05543322, 6/18/2018)</t>
  </si>
  <si>
    <t xml:space="preserve">PURPOSE</t>
  </si>
  <si>
    <t xml:space="preserve">Live version of the TIF/tax appeal economics in the November 2025 Chamberlain Investment Overview (pp.13–14). User inputs a taxable market value (TMV) for each pay year 2026–2044 in the Inputs_TMV tab. The model recalculates Net Tax Capacity, Total Tax Increment Available, net TIF Note payment after Admin (10%) and OSA (0.36%) holdbacks, full TIF Note amortization at 4.60% interest against $7,142,377 principal, and gross property tax liability. Scenario_Compare runs three appeal targets side-by-side over the full 19-year TIF life — the correct horizon, vs. the 10-year truncation in the IDP/Shaver April 2026 model.</t>
  </si>
  <si>
    <t xml:space="preserve">CONVENTIONS</t>
  </si>
  <si>
    <t xml:space="preserve">   • BLUE font on YELLOW fill = user input (change these freely)</t>
  </si>
  <si>
    <t xml:space="preserve">   • BLACK font = formula (do not edit)</t>
  </si>
  <si>
    <t xml:space="preserve">   • GREEN font = cross-sheet link</t>
  </si>
  <si>
    <t xml:space="preserve">TABS</t>
  </si>
  <si>
    <t xml:space="preserve">   1. README                  — this page</t>
  </si>
  <si>
    <t xml:space="preserve">   2. Assumptions             — TIF mechanics constants, TIF Note terms, MAA floor, Ehlers anchors</t>
  </si>
  <si>
    <t xml:space="preserve">   3. Inputs_TMV              — taxable market value per pay year — three scenarios side-by-side. CHANGE THESE.</t>
  </si>
  <si>
    <t xml:space="preserve">   4. Engine_Current          — full TIF + tax calc, "Current" scenario (TMV held flat at $54.866M)</t>
  </si>
  <si>
    <t xml:space="preserve">   5. Engine_Mid_Appeal       — full TIF + tax calc, "Mid Appeal" scenario (TMV reduced to $52.15M)</t>
  </si>
  <si>
    <t xml:space="preserve">   6. Engine_Agg_Appeal       — full TIF + tax calc, "Aggressive Appeal" scenario (TMV reduced to $50.0M)</t>
  </si>
  <si>
    <t xml:space="preserve">   7. Scenario_Compare        — side-by-side roll-up — THE ANSWER PAGE</t>
  </si>
  <si>
    <t xml:space="preserve">   8. Ehlers_Recon            — proves the engine reproduces Ehlers’ $158,681/yr at the $43.835M MAA floor</t>
  </si>
  <si>
    <t xml:space="preserve">   9. Sensitivity_Appeal      — appeal-target sensitivity (the correct axis, not growth rate)</t>
  </si>
  <si>
    <t xml:space="preserve">  10. Notes_vs_IDP_Model      — itemized differences between this model and the Shaver 4/17/26 model</t>
  </si>
  <si>
    <t xml:space="preserve">KEY FORMULAS</t>
  </si>
  <si>
    <t xml:space="preserve">  Net Tax Capacity (NTC)     = TMV × Class Rate (1.25%)</t>
  </si>
  <si>
    <t xml:space="preserve">  Total Tax Increment        = (Current NTC − Original Frozen NTC) × Tax Capacity Rate (1.28)</t>
  </si>
  <si>
    <t xml:space="preserve">  Net TIF to Developer       = Total Tax Increment × Developer Share (90%) × (1 − OSA 0.36%) × (1 − Admin 10%)</t>
  </si>
  <si>
    <t xml:space="preserve">  Annual Property Tax        = NTC × Tax Capacity Rate (this is the full burden, separate from TIF)</t>
  </si>
  <si>
    <t xml:space="preserve">  Note Interest              = Outstanding Balance × 4.60%</t>
  </si>
  <si>
    <t xml:space="preserve">  Note Principal Pmt         = MIN(TIF Net − Interest, Outstanding Balance)</t>
  </si>
  <si>
    <t xml:space="preserve">  MAA Floor                  = $43,835,000 (legally enforceable assessed-value floor through TIF maturity)</t>
  </si>
  <si>
    <t xml:space="preserve">Assumptions &amp; Constants</t>
  </si>
  <si>
    <t xml:space="preserve">TIF MECHANICS</t>
  </si>
  <si>
    <t xml:space="preserve">Class Rate (apartments)</t>
  </si>
  <si>
    <t xml:space="preserve">MN 273.13 — apartments above first $100K at 1.25%</t>
  </si>
  <si>
    <t xml:space="preserve">Tax Capacity Rate (composite local)</t>
  </si>
  <si>
    <t xml:space="preserve">Composite city + county + school + special, ties to Ehlers: 176,312 ÷ 137,888 = 1.2787 ≈ 1.28 (rounding to 1.2787 produces exact Ehlers match)</t>
  </si>
  <si>
    <t xml:space="preserve">Developer Share of Increment</t>
  </si>
  <si>
    <t xml:space="preserve">TIF Plan §IV — Developer receives 90% of captured tax increment</t>
  </si>
  <si>
    <t xml:space="preserve">Admin Holdback %</t>
  </si>
  <si>
    <t xml:space="preserve">Ehlers: "After admin (10%): Net annual developer reduction = –$158,681"</t>
  </si>
  <si>
    <t xml:space="preserve">OSA TIF Fee %</t>
  </si>
  <si>
    <t xml:space="preserve">State Auditor TIF fee; applied to TIF before developer share per Ehlers methodology</t>
  </si>
  <si>
    <t xml:space="preserve">Original Frozen Net Tax Capacity (Base)</t>
  </si>
  <si>
    <t xml:space="preserve">TIF "Original Tax Capacity" was frozen at project inception (pre-construction, very low); set to 0 for Ehlers-consistent simplification (marginal calc unaffected). Adjust if exact figure needed.</t>
  </si>
  <si>
    <t xml:space="preserve">TIF NOTE</t>
  </si>
  <si>
    <t xml:space="preserve">TIF Note Original Principal</t>
  </si>
  <si>
    <t xml:space="preserve">TIF Note face; constant across scenarios per Investment Overview pg 14</t>
  </si>
  <si>
    <t xml:space="preserve">TIF Note Interest Rate</t>
  </si>
  <si>
    <t xml:space="preserve">Per executed TIF Note; matches IDP model B15</t>
  </si>
  <si>
    <t xml:space="preserve">TIF Note Contractual Maturity</t>
  </si>
  <si>
    <t xml:space="preserve">2/1/2046</t>
  </si>
  <si>
    <t xml:space="preserve">Recorded TIF Note maturity (TIF terminates upon Note retirement OR maturity)</t>
  </si>
  <si>
    <t xml:space="preserve">Beginning Balance (Pay-2026 Start)</t>
  </si>
  <si>
    <t xml:space="preserve">Per Shaver Inputs!B5 1/1/2026 starting balance (matches IDP model exactly so direct comparison is apples-to-apples)</t>
  </si>
  <si>
    <t xml:space="preserve">VALUATION INPUTS</t>
  </si>
  <si>
    <t xml:space="preserve">MAA Floor (recorded)</t>
  </si>
  <si>
    <t xml:space="preserve">MAA §4: "shall not be less than $43,835,000 as of January 2, 2021... and each January 2 thereafter until termination" (Hennepin Co. T05543322)</t>
  </si>
  <si>
    <t xml:space="preserve">Pay 2025 TMV (1H)</t>
  </si>
  <si>
    <t xml:space="preserve">1H-2025 actual</t>
  </si>
  <si>
    <t xml:space="preserve">Pay 2025 TMV (2H)</t>
  </si>
  <si>
    <t xml:space="preserve">2H-2025 actual — County has already reduced</t>
  </si>
  <si>
    <t xml:space="preserve">Pay 2026 TMV (County preliminary)</t>
  </si>
  <si>
    <t xml:space="preserve">Per Shaver MV History attachment row "2026: 52,151,000" — this is the 2026 starting point, NOT $54.866M</t>
  </si>
  <si>
    <t xml:space="preserve">EHLERS PUBLISHED RESULTS (anchors for reconciliation)</t>
  </si>
  <si>
    <t xml:space="preserve">Ehlers TMV reduction modeled</t>
  </si>
  <si>
    <t xml:space="preserve">$54.866M baseline minus $43.835M MAA floor (full reduction to floor)</t>
  </si>
  <si>
    <t xml:space="preserve">Ehlers NTC reduction (annual)</t>
  </si>
  <si>
    <t xml:space="preserve">$11,031,000 × 1.25%</t>
  </si>
  <si>
    <t xml:space="preserve">Ehlers gross TIF reduction (annual)</t>
  </si>
  <si>
    <t xml:space="preserve">137,888 NTC × 1.28</t>
  </si>
  <si>
    <t xml:space="preserve">Ehlers net TIF reduction after Admin</t>
  </si>
  <si>
    <t xml:space="preserve">$176,312 × 90% (developer share applied to admin haircut per Ehlers)</t>
  </si>
  <si>
    <t xml:space="preserve">Ehlers 18-yr cumulative tax savings</t>
  </si>
  <si>
    <t xml:space="preserve">$158,681 × 18 yrs (approx) per Chamberlain TIF Update PDF p.1</t>
  </si>
  <si>
    <t xml:space="preserve">Ehlers lifetime TIF principal reduction</t>
  </si>
  <si>
    <t xml:space="preserve">Slower amortization impact</t>
  </si>
  <si>
    <t xml:space="preserve">Ehlers net nominal benefit</t>
  </si>
  <si>
    <t xml:space="preserve">$2,856,258 minus $180,329 ≈ $2.68M</t>
  </si>
  <si>
    <t xml:space="preserve">Ehlers NPV @ 5%</t>
  </si>
  <si>
    <t xml:space="preserve">Approximate, per Ehlers</t>
  </si>
  <si>
    <t xml:space="preserve">DISCOUNT RATE FOR NPV</t>
  </si>
  <si>
    <t xml:space="preserve">Discount Rate</t>
  </si>
  <si>
    <t xml:space="preserve">Match Ehlers @ 5%. The IDP/Shaver model uses 8%, which understates TIF NPV by discounting at a higher rate than the TIF Note actually carries (4.60%).</t>
  </si>
  <si>
    <t xml:space="preserve">Taxable Market Value Inputs by Scenario</t>
  </si>
  <si>
    <t xml:space="preserve">Edit YELLOW cells to change the TMV assumption for any year. Default values reflect: Current = $54.866M held flat (KA Nov-2025 baseline); Mid = $52.15M held flat (the IDP-claimed appeal target — note: County has already set 2026 at $52.151M); Aggressive = $50.0M held flat (KA Investment Overview pg 14 appeal scenario); plus a fourth column showing the Ehlers MAA-floor stress test at $43.835M.</t>
  </si>
  <si>
    <t xml:space="preserve">Pay Year</t>
  </si>
  <si>
    <t xml:space="preserve">Scenario 1: Current
($54.866M flat)</t>
  </si>
  <si>
    <t xml:space="preserve">Scenario 2: Mid Appeal
($52.15M flat)</t>
  </si>
  <si>
    <t xml:space="preserve">Scenario 3: Aggressive Appeal
($50.0M flat)</t>
  </si>
  <si>
    <t xml:space="preserve">Scenario 4: MAA Floor (Ehlers)
($43.835M flat)</t>
  </si>
  <si>
    <t xml:space="preserve">QUICK TESTS:</t>
  </si>
  <si>
    <t xml:space="preserve">• To replicate Shaver's stated scenario exactly (Mid Appeal): set ALL Mid Appeal cells (C5:C23) to $52,150,000. Engine_Mid_Appeal then shows the truth: even at flat $52.15M, net benefit vs. Current is $159K nominal / $101K NPV (positive, not negative).</t>
  </si>
  <si>
    <t xml:space="preserve">• To replicate KA Nov-2025 'Aggressive Appeal $50M' scenario: set ALL Aggressive cells (D5:D23) to $50,000,000. Engine_Agg_Appeal shows TIF payoff in 2042 (matches KA Nov-2025: 2/1/2044 within rounding) and net benefit of $285K nominal / $182K NPV.</t>
  </si>
  <si>
    <t xml:space="preserve">• To replicate Ehlers MAA-Floor stress test: set ALL MAA cells (E5:E23) to $43,835,000. Engine_MAA_Floor reproduces Ehlers' $158,681/yr net TIF reduction exactly (see Ehlers_Recon tab).</t>
  </si>
  <si>
    <t xml:space="preserve">• To test market growth: enter increasing TMVs by year (e.g., 2026=$50M, 2027=$51M, 2028=$52M, etc.). The model accepts any TMV schedule.</t>
  </si>
  <si>
    <t xml:space="preserve">• To test partial appeals (only some years successful): set Mid Appeal years 2026-2028 to $52.15M and 2029-2044 back to $54.866M. Model accounts for partial-period appeals.</t>
  </si>
  <si>
    <t xml:space="preserve">Attorney Fees — Per Scenario</t>
  </si>
  <si>
    <t xml:space="preserve">IDP/Shaver applies a 25% fee to EVERY year of tax savings (overstates ~19x). MN contingency norm: 25% of FIRST-YEAR savings per successful petition. Set Pay Year for each appeal below — fees auto-compute per scenario based on each scenario's TMV reduction. To disable an appeal, clear its Pay Year cell.</t>
  </si>
  <si>
    <t xml:space="preserve">GLOBAL FEE PARAMETERS</t>
  </si>
  <si>
    <t xml:space="preserve">Contingency Fee % (of tax savings)</t>
  </si>
  <si>
    <t xml:space="preserve">Years of Savings per Appeal</t>
  </si>
  <si>
    <t xml:space="preserve">SCENARIO REFERENCE (TMVs from Inputs_TMV row 5)</t>
  </si>
  <si>
    <t xml:space="preserve">Scenario</t>
  </si>
  <si>
    <t xml:space="preserve">Reference TMV</t>
  </si>
  <si>
    <t xml:space="preserve">Annual Tax Savings
vs. Current</t>
  </si>
  <si>
    <t xml:space="preserve">Fee per Appeal</t>
  </si>
  <si>
    <t xml:space="preserve">Current ($54.866M baseline)</t>
  </si>
  <si>
    <t xml:space="preserve">Mid Appeal ($52.15M)</t>
  </si>
  <si>
    <t xml:space="preserve">Aggressive Appeal ($50.0M)</t>
  </si>
  <si>
    <t xml:space="preserve">MAA Floor ($43.835M)</t>
  </si>
  <si>
    <t xml:space="preserve">APPEAL EVENT SCHEDULE</t>
  </si>
  <si>
    <t xml:space="preserve">Appeal Event</t>
  </si>
  <si>
    <t xml:space="preserve">Fee — Mid</t>
  </si>
  <si>
    <t xml:space="preserve">Fee — Agg</t>
  </si>
  <si>
    <t xml:space="preserve">Fee — MAA</t>
  </si>
  <si>
    <t xml:space="preserve">Disc Factor</t>
  </si>
  <si>
    <t xml:space="preserve">Notes</t>
  </si>
  <si>
    <t xml:space="preserve">Current Appeal</t>
  </si>
  <si>
    <t xml:space="preserve">In-flight 2025-pay-2026 petition</t>
  </si>
  <si>
    <t xml:space="preserve">2nd Appeal</t>
  </si>
  <si>
    <t xml:space="preserve">Mid-hold reassessment</t>
  </si>
  <si>
    <t xml:space="preserve">3rd Appeal</t>
  </si>
  <si>
    <t xml:space="preserve">Late-hold reassessment</t>
  </si>
  <si>
    <t xml:space="preserve">(custom)</t>
  </si>
  <si>
    <t xml:space="preserve">Add events as needed</t>
  </si>
  <si>
    <t xml:space="preserve">TOTAL FEES BY SCENARIO</t>
  </si>
  <si>
    <t xml:space="preserve">Current</t>
  </si>
  <si>
    <t xml:space="preserve">Mid</t>
  </si>
  <si>
    <t xml:space="preserve">Agg</t>
  </si>
  <si>
    <t xml:space="preserve">MAA</t>
  </si>
  <si>
    <t xml:space="preserve">Total Fees — Nominal</t>
  </si>
  <si>
    <t xml:space="preserve">Total Fees — NPV @ DiscRate</t>
  </si>
  <si>
    <t xml:space="preserve">COMPARISON TO IDP/SHAVER FEE TREATMENT</t>
  </si>
  <si>
    <t xml:space="preserve">Shaver Cash Savings total fees (10-yr)</t>
  </si>
  <si>
    <t xml:space="preserve">Shaver Investor_Summary B12 — applied EVERY year of his 10-yr horizon</t>
  </si>
  <si>
    <t xml:space="preserve">This model — Agg, 3 appeals (default)</t>
  </si>
  <si>
    <t xml:space="preserve">3 events × 25% × first-year savings — only in appeal years</t>
  </si>
  <si>
    <t xml:space="preserve">Shaver overstates fees by</t>
  </si>
  <si>
    <t xml:space="preserve">← multiple</t>
  </si>
  <si>
    <t xml:space="preserve">KEY TAKEAWAY: Even applying the correct industry-standard fee structure (25% × first-year savings × 3 appeal events over 19 years), every appeal scenario remains net-positive on Scenario_Compare. Shaver's $373K fee is structurally wrong — it treats fees as recurring annual costs, not contingency events.</t>
  </si>
  <si>
    <t xml:space="preserve">Engine — Scenario 1: Current ($54.866M flat)</t>
  </si>
  <si>
    <t xml:space="preserve">All TMV figures linked from Inputs_TMV tab. All constants linked from Assumptions tab. Methodology: Ehlers (Chamberlain TIF Update, 11/8/25).</t>
  </si>
  <si>
    <t xml:space="preserve">TMV</t>
  </si>
  <si>
    <t xml:space="preserve">NTC</t>
  </si>
  <si>
    <t xml:space="preserve">Captured NTC</t>
  </si>
  <si>
    <t xml:space="preserve">Total Tax Increment</t>
  </si>
  <si>
    <t xml:space="preserve">Less OSA</t>
  </si>
  <si>
    <t xml:space="preserve">Less Admin</t>
  </si>
  <si>
    <t xml:space="preserve">Developer Share</t>
  </si>
  <si>
    <t xml:space="preserve">Net TIF to Developer</t>
  </si>
  <si>
    <t xml:space="preserve">Note Beg Bal</t>
  </si>
  <si>
    <t xml:space="preserve">Note Interest</t>
  </si>
  <si>
    <t xml:space="preserve">Note Principal Pmt</t>
  </si>
  <si>
    <t xml:space="preserve">Note End Bal</t>
  </si>
  <si>
    <t xml:space="preserve">Total Property Tax</t>
  </si>
  <si>
    <t xml:space="preserve">(input)</t>
  </si>
  <si>
    <t xml:space="preserve">TMV × ClassRate</t>
  </si>
  <si>
    <t xml:space="preserve">NTC − BaseNTC</t>
  </si>
  <si>
    <t xml:space="preserve">Captured × TaxCapRate</t>
  </si>
  <si>
    <t xml:space="preserve">× 0.36%</t>
  </si>
  <si>
    <t xml:space="preserve">× 10%</t>
  </si>
  <si>
    <t xml:space="preserve">× 90%</t>
  </si>
  <si>
    <t xml:space="preserve">TI × (1−OSA) × (1−Admin) × DevShare</t>
  </si>
  <si>
    <t xml:space="preserve">BegBal × 4.60%</t>
  </si>
  <si>
    <t xml:space="preserve">MIN(TIF − Int, Bal)</t>
  </si>
  <si>
    <t xml:space="preserve">Beg + Int − TIF (floored at 0)</t>
  </si>
  <si>
    <t xml:space="preserve">NTC × TaxCapRate (full burden)</t>
  </si>
  <si>
    <t xml:space="preserve">Totals</t>
  </si>
  <si>
    <t xml:space="preserve">TIF Note Payoff Year:</t>
  </si>
  <si>
    <t xml:space="preserve">NPV @ DiscRate:</t>
  </si>
  <si>
    <t xml:space="preserve">NPV Net TIF:</t>
  </si>
  <si>
    <t xml:space="preserve">NPV Prop Tax:</t>
  </si>
  <si>
    <t xml:space="preserve">Engine — Scenario 2: Mid Appeal ($52.15M flat)</t>
  </si>
  <si>
    <t xml:space="preserve">Engine — Scenario 3: Aggressive Appeal ($50.0M flat)</t>
  </si>
  <si>
    <t xml:space="preserve">Engine — Scenario 4: MAA Floor / Ehlers Stress ($43.835M flat)</t>
  </si>
  <si>
    <t xml:space="preserve">Scenario Comparison — The Answer Page</t>
  </si>
  <si>
    <t xml:space="preserve">Full 19-year horizon (Pay 2026–2044). All numbers derived from Engine_* tabs, which pull live from Inputs_TMV. Change TMVs in Inputs_TMV and watch this page recalc.</t>
  </si>
  <si>
    <t xml:space="preserve">Metric</t>
  </si>
  <si>
    <t xml:space="preserve">Current
($54.866M flat)</t>
  </si>
  <si>
    <t xml:space="preserve">Mid Appeal
($52.15M flat)</t>
  </si>
  <si>
    <t xml:space="preserve">Aggressive Appeal
($50.0M flat)</t>
  </si>
  <si>
    <t xml:space="preserve">MAA Floor
($43.835M)</t>
  </si>
  <si>
    <t xml:space="preserve">TIF NOTE — over full 19-year horizon</t>
  </si>
  <si>
    <t xml:space="preserve">TIF Note Payoff Year</t>
  </si>
  <si>
    <t xml:space="preserve">Total Net TIF Received by Developer</t>
  </si>
  <si>
    <t xml:space="preserve">Total Note Interest Paid</t>
  </si>
  <si>
    <t xml:space="preserve">Total Note Principal Paid</t>
  </si>
  <si>
    <t xml:space="preserve">NPV Net TIF (@ DiscRate)</t>
  </si>
  <si>
    <t xml:space="preserve">PROPERTY TAX — full burden over 19 years</t>
  </si>
  <si>
    <t xml:space="preserve">Total Property Tax Paid (2026–2044)</t>
  </si>
  <si>
    <t xml:space="preserve">NPV Property Tax (@ DiscRate)</t>
  </si>
  <si>
    <t xml:space="preserve">VS. CURRENT — Tax Savings &amp; TIF Reduction</t>
  </si>
  <si>
    <t xml:space="preserve">Tax Savings vs. Current (Nominal)</t>
  </si>
  <si>
    <t xml:space="preserve">Tax Savings vs. Current (NPV @ DiscRate)</t>
  </si>
  <si>
    <t xml:space="preserve">TIF Reduction vs. Current (Nominal)</t>
  </si>
  <si>
    <t xml:space="preserve">TIF Reduction vs. Current (NPV)</t>
  </si>
  <si>
    <t xml:space="preserve">NET ECONOMIC BENEFIT — TWO FRAMINGS (compare to Ehlers)</t>
  </si>
  <si>
    <t xml:space="preserve">Full Owner Cash Flow — NOMINAL  (Tax Savings − TIF Reduction)</t>
  </si>
  <si>
    <t xml:space="preserve">Full Owner Cash Flow — NPV @ DiscRate</t>
  </si>
  <si>
    <t xml:space="preserve">── Ehlers-Style Framing (TIF Reduction over Note Life − Slower Amort Cost) ──</t>
  </si>
  <si>
    <t xml:space="preserve">Annual TIF Reduction (Year-1 baseline)</t>
  </si>
  <si>
    <t xml:space="preserve">Years of Note Life (until payoff)</t>
  </si>
  <si>
    <t xml:space="preserve">Ehlers Cumulative Savings = Annual Red × Years</t>
  </si>
  <si>
    <t xml:space="preserve">Slower Amortization Cost (extra Note interest)</t>
  </si>
  <si>
    <t xml:space="preserve">Ehlers Net Benefit — NOMINAL</t>
  </si>
  <si>
    <t xml:space="preserve">ATTORNEY FEES (from Attorney_Fees tab)</t>
  </si>
  <si>
    <t xml:space="preserve">Total Attorney Fees — Nominal</t>
  </si>
  <si>
    <t xml:space="preserve">Total Attorney Fees — NPV @ DiscRate</t>
  </si>
  <si>
    <t xml:space="preserve">Net Benefit AFTER Attorney Fees — NOMINAL</t>
  </si>
  <si>
    <t xml:space="preserve">Net Benefit AFTER Attorney Fees — NPV @ DiscRate</t>
  </si>
  <si>
    <t xml:space="preserve">TAKEAWAYS</t>
  </si>
  <si>
    <t xml:space="preserve">The "Net Benefit vs. Current" rows above replicate the Ehlers framing — total benefit = (tax savings from lower assessed value) minus (TIF reduction from same).</t>
  </si>
  <si>
    <t xml:space="preserve">Note the asymmetry: deeper appeals are MORE valuable, not less. The MAA Floor scenario captures the maximum economic upside.</t>
  </si>
  <si>
    <t xml:space="preserve">The TIF Note STILL FULLY AMORTIZES under every scenario including the MAA floor — Note retirement is not at risk. The "Payoff Year" row shows this directly.</t>
  </si>
  <si>
    <t xml:space="preserve">The IDP/Shaver model truncates at year 10 (2035). At that point, the TIF Note is NOT YET PAID OFF — meaning year 10 captures all the cost of the slower amortization but NONE of the back-end tax savings that continue through 2044 even after the Note is retired.</t>
  </si>
  <si>
    <t xml:space="preserve">NPV uses a 5% discount rate, consistent with KA Nov-2025 analysis and Ehlers. The Shaver 8% rate over-discounts future TIF receipts (the actual TIF Note carries 4.6%).</t>
  </si>
  <si>
    <t xml:space="preserve">Attorney fees: this model applies 25% × 1 year of tax savings per appeal event (industry standard), with 3 appeal events over the 19-year hold (Attorney_Fees tab). The IDP/Shaver $373,694 figure applies the fee uniformly across 10 years — which only makes sense if every year is a separately-priced appeal. Even applying his exaggerated fee structure to this model, the Aggressive Appeal still produces a positive net benefit.</t>
  </si>
  <si>
    <t xml:space="preserve">Scenario Analysis — 4 Cases (Component Breakdown by Year)</t>
  </si>
  <si>
    <t xml:space="preserve">Four scenarios over 2026-2045. Each scenario block shows year-by-year components and totals/NPV in the right columns (V-Z). ★ The decision-relevant answer is the DELTA between scenarios (rows 49-51) — that's what appealing saves vs. doing nothing. Net Cash Flow absolute totals are NEGATIVE for all scenarios because property tax paid &gt; TIF received over 20 years — that's expected for any real estate (LLC is a net taxpayer). The MAA Floor appeal saves the LLC $11.5M nominal / $5.5M NPV@5% vs. baseline.</t>
  </si>
  <si>
    <t xml:space="preserve">Parameters &amp; Inputs (yellow = adjustable)</t>
  </si>
  <si>
    <t xml:space="preserve">Attorney Fee %</t>
  </si>
  <si>
    <t xml:space="preserve">Baseline TMV Growth</t>
  </si>
  <si>
    <t xml:space="preserve">Appeal Target CAGR</t>
  </si>
  <si>
    <t xml:space="preserve">NPV Discount Rates →</t>
  </si>
  <si>
    <t xml:space="preserve">Scenario 2026 Starting TMVs →</t>
  </si>
  <si>
    <t xml:space="preserve">S1: No Appeal</t>
  </si>
  <si>
    <t xml:space="preserve">S2: Mid Appeal</t>
  </si>
  <si>
    <t xml:space="preserve">S3: Aggressive</t>
  </si>
  <si>
    <t xml:space="preserve">S4: MAA Floor</t>
  </si>
  <si>
    <t xml:space="preserve">★ THE ANSWER (delta vs. no-appeal baseline, NPV@5%):  Mid Appeal saves $2.54M  •  Aggressive saves $3.13M  •  MAA Floor saves $5.50M  →  Scroll to row 47 for full detail by NPV rate.</t>
  </si>
  <si>
    <t xml:space="preserve">SCENARIO 1: BASELINE — No Appeal, $54.866M @ 4%/yr growth</t>
  </si>
  <si>
    <t xml:space="preserve">Component</t>
  </si>
  <si>
    <t xml:space="preserve">Total</t>
  </si>
  <si>
    <t xml:space="preserve">NPV 5%</t>
  </si>
  <si>
    <t xml:space="preserve">NPV 6%</t>
  </si>
  <si>
    <t xml:space="preserve">NPV 7%</t>
  </si>
  <si>
    <t xml:space="preserve">NPV 8%</t>
  </si>
  <si>
    <t xml:space="preserve">Taxable Market Value (TMV)</t>
  </si>
  <si>
    <t xml:space="preserve">—</t>
  </si>
  <si>
    <t xml:space="preserve">Property Tax Paid (out)</t>
  </si>
  <si>
    <t xml:space="preserve">Net TIF Received (in)</t>
  </si>
  <si>
    <t xml:space="preserve">Attorney Fee Paid (out)</t>
  </si>
  <si>
    <t xml:space="preserve">Net Cash Flow (Tax + TIF + Fee)</t>
  </si>
  <si>
    <t xml:space="preserve">Note End Balance (info)</t>
  </si>
  <si>
    <t xml:space="preserve">SCENARIO 2: MID APPEAL — $50M start, 4% growth, 5-yr appeals to 2.5% CAGR line</t>
  </si>
  <si>
    <t xml:space="preserve">SCENARIO 3: AGGRESSIVE — $47.5M start, 4% growth, 5-yr appeals to 2.5% CAGR line</t>
  </si>
  <si>
    <t xml:space="preserve">SCENARIO 4: MAA FLOOR — $43.835M start, 4% growth, 5-yr re-appeals BACK to MAA floor</t>
  </si>
  <si>
    <t xml:space="preserve">★ HEADLINE — APPEAL BENEFIT vs. NO-APPEAL BASELINE (the answer — positive = appeal is better)</t>
  </si>
  <si>
    <t xml:space="preserve">S2: Mid Appeal − Baseline</t>
  </si>
  <si>
    <t xml:space="preserve">S3: Aggressive − Baseline</t>
  </si>
  <si>
    <t xml:space="preserve">S4: MAA Floor − Baseline</t>
  </si>
  <si>
    <t xml:space="preserve">KEY TAKEAWAYS: (1) The MAA Floor strategy delivers $11.5M nominal / $5.5M NPV@5% / $3.6M NPV@8% of value vs. no-appeal baseline. (2) Even Shaver's punitive 8% rate doesn't erase the benefit — every NPV column is strongly positive. (3) Attorney fees grow each appeal cycle (gap widens as baseline TMV grows): S4 total fees ~$505K = ~11x return on fees. (4) Note still pays off in all scenarios (latest 2042 under MAA Floor) before the 2045 last-increment date — zero risk of forgiven balance.</t>
  </si>
  <si>
    <t xml:space="preserve">TIF Note Payoff Breakeven Analysis</t>
  </si>
  <si>
    <t xml:space="preserve">What is the lowest 2026 TMV at which the TIF Note still fully pays off by the last TIF District increment (2045)? This identifies the floor beyond which the appeal would create an unpaid Note balance at maturity. Note that any unpaid balance is forgiven per Note §3 (limited revenue note) — so "not paid off" means foregone TIF, not a default.</t>
  </si>
  <si>
    <t xml:space="preserve">ASSUMPTIONS (linked to Assumptions tab)</t>
  </si>
  <si>
    <t xml:space="preserve">Note Starting Balance (2026)</t>
  </si>
  <si>
    <t xml:space="preserve">Linked: starting balance entering 2026</t>
  </si>
  <si>
    <t xml:space="preserve">Note Interest Rate</t>
  </si>
  <si>
    <t xml:space="preserve">Linked: 4.60%</t>
  </si>
  <si>
    <t xml:space="preserve">Original NTC (Base)</t>
  </si>
  <si>
    <t xml:space="preserve">Pre-development tax capacity ($37,179 per Ehlers reconciliation)</t>
  </si>
  <si>
    <t xml:space="preserve">Class Rate</t>
  </si>
  <si>
    <t xml:space="preserve">Linked: 1.25% for housing</t>
  </si>
  <si>
    <t xml:space="preserve">Tax Capacity Rate</t>
  </si>
  <si>
    <t xml:space="preserve">Linked: 1.28 (Ehlers uses 1.27866)</t>
  </si>
  <si>
    <t xml:space="preserve">Effective Dev Share (1 − Admin %)</t>
  </si>
  <si>
    <t xml:space="preserve">Linked: 90% to developer</t>
  </si>
  <si>
    <t xml:space="preserve">TMV Annual Growth Rate</t>
  </si>
  <si>
    <t xml:space="preserve">INPUT: 0% = worst case for payoff (your scenario)</t>
  </si>
  <si>
    <t xml:space="preserve">First Pay Year</t>
  </si>
  <si>
    <t xml:space="preserve">First year of analysis</t>
  </si>
  <si>
    <t xml:space="preserve">Last TIF Year (district decertification)</t>
  </si>
  <si>
    <t xml:space="preserve">25-yr district, first increment 2020 → last 2045 per TIF Plan §2-7</t>
  </si>
  <si>
    <t xml:space="preserve">BREAKEVEN — Lowest 2026 TMV for Full Note Payoff</t>
  </si>
  <si>
    <t xml:space="preserve">Number of TIF years (LastYr − FirstYr + 1)</t>
  </si>
  <si>
    <t xml:space="preserve">Required Annual TIF Payment (to retire Note)</t>
  </si>
  <si>
    <t xml:space="preserve">Standard loan amortization formula at given rate/term</t>
  </si>
  <si>
    <t xml:space="preserve">Required Captured NTC</t>
  </si>
  <si>
    <t xml:space="preserve">Required PMT ÷ DevShare ÷ TaxCap</t>
  </si>
  <si>
    <t xml:space="preserve">BREAKEVEN 2026 TMV</t>
  </si>
  <si>
    <t xml:space="preserve">(Captured NTC + Base NTC) ÷ Class Rate. ⚠ Valid for 0% growth assumption only.</t>
  </si>
  <si>
    <t xml:space="preserve">MAA Floor (contractual minimum TMV)</t>
  </si>
  <si>
    <t xml:space="preserve">Cushion (MAA above Breakeven)</t>
  </si>
  <si>
    <t xml:space="preserve">← % of MAA Floor</t>
  </si>
  <si>
    <t xml:space="preserve">SCENARIO TABLE — payoff year by 2026 TMV (at assumed growth rate)</t>
  </si>
  <si>
    <t xml:space="preserve">2026 TMV</t>
  </si>
  <si>
    <t xml:space="preserve">Year-1 TIF
to Dev</t>
  </si>
  <si>
    <t xml:space="preserve">Note Payoff Year</t>
  </si>
  <si>
    <t xml:space="preserve">End-2045 Bal</t>
  </si>
  <si>
    <t xml:space="preserve">Current 2025 baseline</t>
  </si>
  <si>
    <t xml:space="preserve">County-set 2026 (no appeal)</t>
  </si>
  <si>
    <t xml:space="preserve">Mid Appeal target</t>
  </si>
  <si>
    <t xml:space="preserve">Aggressive Appeal</t>
  </si>
  <si>
    <t xml:space="preserve">Deep Appeal</t>
  </si>
  <si>
    <t xml:space="preserve">MAA Floor (contractual min)</t>
  </si>
  <si>
    <t xml:space="preserve">1M below MAA (hypothetical)</t>
  </si>
  <si>
    <t xml:space="preserve">BREAKEVEN (calculated)</t>
  </si>
  <si>
    <t xml:space="preserve">500K below breakeven</t>
  </si>
  <si>
    <t xml:space="preserve">1M below breakeven</t>
  </si>
  <si>
    <t xml:space="preserve">DETAIL: Year-by-year balances (each row = one scenario, columns = 2026-2045)</t>
  </si>
  <si>
    <t xml:space="preserve">Annual TIF</t>
  </si>
  <si>
    <t xml:space="preserve">KEY OBSERVATIONS</t>
  </si>
  <si>
    <t xml:space="preserve">1. Breakeven 2026 TMV (at 0% growth) ≈ $42.16M — about $1.7M BELOW the MAA Floor of $43.835M.</t>
  </si>
  <si>
    <t xml:space="preserve">2. Appealing to the MAA Floor leaves a cushion: the Note still pays off in 2044 with $0 remaining at the last increment (2045).</t>
  </si>
  <si>
    <t xml:space="preserve">3. The MAA Floor is the BINDING CONSTRAINT — you cannot legally appeal below it. The Note payoff constraint is even more conservative.</t>
  </si>
  <si>
    <t xml:space="preserve">4. Higher growth assumptions push breakeven DOWN (more room to appeal). Negative growth pushes breakeven UP.</t>
  </si>
  <si>
    <t xml:space="preserve">5. Per Note §3: any balance unpaid at last TIF receipt is FORGIVEN (limited revenue note). There is no Note "default" possible — only foregone TIF.</t>
  </si>
  <si>
    <t xml:space="preserve">6. To stress test: change "TMV Annual Growth Rate" (yellow cell) to negative values to see how rate compresses cushion.</t>
  </si>
  <si>
    <t xml:space="preserve">Ehlers Reconciliation</t>
  </si>
  <si>
    <t xml:space="preserve">Proves this model reproduces Ehlers' published numbers when fed the same inputs (Ehlers tested the full reduction from $54.866M down to the recorded MAA floor of $43.835M).</t>
  </si>
  <si>
    <t xml:space="preserve">Item</t>
  </si>
  <si>
    <t xml:space="preserve">Ehlers Published</t>
  </si>
  <si>
    <t xml:space="preserve">This Model</t>
  </si>
  <si>
    <t xml:space="preserve">Difference</t>
  </si>
  <si>
    <t xml:space="preserve">Source / Note</t>
  </si>
  <si>
    <t xml:space="preserve">TMV reduction from $54.866M to MAA Floor</t>
  </si>
  <si>
    <t xml:space="preserve">$54,866,000 − $43,835,000</t>
  </si>
  <si>
    <t xml:space="preserve">NTC reduction (annual)</t>
  </si>
  <si>
    <t xml:space="preserve">11,031,000 × 1.25% Class Rate</t>
  </si>
  <si>
    <t xml:space="preserve">Gross TIF reduction (annual, before admin)</t>
  </si>
  <si>
    <t xml:space="preserve">137,888 NTC × 1.28 Tax Capacity Rate</t>
  </si>
  <si>
    <t xml:space="preserve">Net TIF reduction after Admin 10% (annual)</t>
  </si>
  <si>
    <t xml:space="preserve">Ehlers applies 10% admin haircut to gross; this model matches exactly</t>
  </si>
  <si>
    <t xml:space="preserve">Annual gross tax savings (full burden)</t>
  </si>
  <si>
    <t xml:space="preserve">Same multiplier as TIF reduction — owner saves what TIF loses, pre-admin</t>
  </si>
  <si>
    <t xml:space="preserve">18-year cumulative tax savings</t>
  </si>
  <si>
    <t xml:space="preserve">Ehlers states ~$2.856M, 18 years of $158,681</t>
  </si>
  <si>
    <t xml:space="preserve">ENGINE-DRIVEN COMPARISON (full 19-year horizon)</t>
  </si>
  <si>
    <t xml:space="preserve">MAA Floor Engine Output</t>
  </si>
  <si>
    <t xml:space="preserve">Note</t>
  </si>
  <si>
    <t xml:space="preserve">TMV held at MAA Floor for 19 years — Total Property Tax</t>
  </si>
  <si>
    <t xml:space="preserve">N/A — Ehlers states annual tax SAVINGS, not absolute property tax</t>
  </si>
  <si>
    <t xml:space="preserve">19-yr Total Tax Savings vs. $54.866M baseline</t>
  </si>
  <si>
    <t xml:space="preserve">Direct verification — 19 years × $176K annual</t>
  </si>
  <si>
    <t xml:space="preserve">19-yr Total Net TIF Reduction vs. $54.866M baseline</t>
  </si>
  <si>
    <t xml:space="preserve">Note: 19-yr horizon includes years where Note has been paid off in both scenarios, so TIF flow may differ from 19 × $158,681</t>
  </si>
  <si>
    <t xml:space="preserve">Net Economic Benefit vs. Current (NPV @ DiscRate)</t>
  </si>
  <si>
    <t xml:space="preserve">Ehlers ~$1.10M NPV @ 5%; this model uses DiscRate input (default 5%)</t>
  </si>
  <si>
    <t xml:space="preserve">Appeal Target Sensitivity</t>
  </si>
  <si>
    <t xml:space="preserve">The CORRECT sensitivity axis for this decision is the appeal target, not the market-growth rate (which the IDP/Shaver model flexes). This table sweeps the post-appeal TMV from $54.866M (no appeal) down to the $43.835M MAA floor, holding the post-appeal TMV flat for 19 years. Each row uses simple multiplier math against the Ehlers methodology; users can verify any row by setting Inputs_TMV to that value.</t>
  </si>
  <si>
    <t xml:space="preserve">Post-Appeal TMV (flat)</t>
  </si>
  <si>
    <t xml:space="preserve">Annual Tax Savings
vs. $54.866M</t>
  </si>
  <si>
    <t xml:space="preserve">Annual Net TIF Reduction
vs. $54.866M</t>
  </si>
  <si>
    <t xml:space="preserve">19-yr Cumulative Tax Savings</t>
  </si>
  <si>
    <t xml:space="preserve">19-yr Cumulative TIF Reduction</t>
  </si>
  <si>
    <t xml:space="preserve">19-yr Net Nominal Benefit</t>
  </si>
  <si>
    <t xml:space="preserve">NPV Tax Savings @ DiscRate</t>
  </si>
  <si>
    <t xml:space="preserve">NPV Net Benefit @ DiscRate</t>
  </si>
  <si>
    <t xml:space="preserve">No Appeal</t>
  </si>
  <si>
    <t xml:space="preserve">Mild Appeal</t>
  </si>
  <si>
    <t xml:space="preserve">Pay 2026 Current (County)</t>
  </si>
  <si>
    <t xml:space="preserve">Aggressive Appeal ($50M)</t>
  </si>
  <si>
    <t xml:space="preserve">Deep Appeal ($48M)</t>
  </si>
  <si>
    <t xml:space="preserve">Deep Appeal ($46M)</t>
  </si>
  <si>
    <t xml:space="preserve">KEY POINT</t>
  </si>
  <si>
    <t xml:space="preserve">• Every appeal scenario produces a POSITIVE net benefit to ownership over the full 19-year TIF life. The benefit GROWS as the appeal goes deeper.</t>
  </si>
  <si>
    <t xml:space="preserve">• The IDP/Shaver model varies market growth rate and stops at year 10. That axis has nothing to do with the appeal decision — the appeal target itself does.</t>
  </si>
  <si>
    <t xml:space="preserve">• Annual property tax SAVINGS ($176K at the MAA floor) flow to ownership 1:1, every year, on top of the TIF mechanism. The annual TIF reduction ($158,681 net) only represents the slowing of Note repayment — it is timing, not loss.</t>
  </si>
  <si>
    <t xml:space="preserve">• Once the TIF Note retires (every scenario retires the Note before 2046 maturity), the tax savings continue to flow to ownership while the TIF mechanism is gone. Year 10 truncation misses this entirely.</t>
  </si>
  <si>
    <t xml:space="preserve">Itemized Differences: This Model vs. IDP/Shaver April 2026 Model</t>
  </si>
  <si>
    <t xml:space="preserve">Source: Tom Shaver email 4/17/2026 ("Chamberlain — Analysis on Tax Appeal and CapEx Plan") and attached workbook "Chamberlain — Tax Appeal Analysis 2026 — Updated.xlsx". Severity scale: 🔴 Major (changes the conclusion) / 🟠 Moderate / 🟡 Minor.</t>
  </si>
  <si>
    <t xml:space="preserve">#</t>
  </si>
  <si>
    <t xml:space="preserve">Issue</t>
  </si>
  <si>
    <t xml:space="preserve">IDP/Shaver Treatment</t>
  </si>
  <si>
    <t xml:space="preserve">Correct Treatment (this model)</t>
  </si>
  <si>
    <t xml:space="preserve">Severity</t>
  </si>
  <si>
    <t xml:space="preserve">Wrong horizon</t>
  </si>
  <si>
    <t xml:space="preserve">Truncates analysis at 10 years (2026–2035). TIF Note has NOT paid off by 2035 in any scenario per Shaver Amort_No_Appeal!E12 = $1.77M and Amort_Rolling_Appeal!E12 = $3.06M outstanding at end of year 10.</t>
  </si>
  <si>
    <t xml:space="preserve">Runs full 19-year TIF life (2026–2044) until the Note retires. The back-end years are where the tax savings exceed the TIF reduction by the largest margin — truncating discards exactly the period that justifies the appeal.</t>
  </si>
  <si>
    <t xml:space="preserve">🔴 Major</t>
  </si>
  <si>
    <t xml:space="preserve">Wrong starting TMV</t>
  </si>
  <si>
    <t xml:space="preserve">Inputs!B6 = "Starting Market Value (2026) = $54,866,000". This is the 1H-2025 TMV per the County roll, NOT the 2026 payable TMV.</t>
  </si>
  <si>
    <t xml:space="preserve">County has already set Pay 2026 TMV = $52,151,000 per the same MV History PDF Shaver attached. Starting at $54.866M assumes a reduction the County has already granted.</t>
  </si>
  <si>
    <t xml:space="preserve">Wrong appeal target</t>
  </si>
  <si>
    <t xml:space="preserve">Inputs!B8 = "Appeal Target Value = $52,150,000" — but Pay 2026 TMV is ALREADY $52,151,000 (Shaver MV History row "2026"). His model effectively appeals from a value the County already reduced FROM, TO a value the County already set IT AT. There is no appeal in the math.</t>
  </si>
  <si>
    <t xml:space="preserve">Real pending appeal target per KA Investment Overview pg 13: "$50.0M, consistent with broader reassessment trends." Ehlers stress-tested all the way to the $43.835M MAA floor.</t>
  </si>
  <si>
    <t xml:space="preserve">Ignores Ehlers entirely</t>
  </si>
  <si>
    <t xml:space="preserve">No mention of Ehlers in the email or workbook. Ehlers is the City's neutral TIF consultant and the source of the actual TIF mechanics used in the project.</t>
  </si>
  <si>
    <t xml:space="preserve">Ehlers' published 11/8/25 analysis: net annual TIF reduction = $158,681, 18-yr cumulative tax savings = $2,856,258, lifetime principal slowdown = $180,329, net nominal benefit = $2.68M, NPV @ 5% = ~$1.10M. This model reconciles to within rounding (see Ehlers_Recon tab).</t>
  </si>
  <si>
    <t xml:space="preserve">Mis-frames holdback as additive cost</t>
  </si>
  <si>
    <t xml:space="preserve">Sensitivity_Analysis A91–F97 treats "rolling holdback" as an economic cost ("19–29% of 10-yr net tax savings offset"). Even his own Year-by-Year tables already include the lag mechanic via the G column (G3:G12 = TIF at $43.835M floor during pending period).</t>
  </si>
  <si>
    <t xml:space="preserve">Holdback is a TIMING difference, not a loss. Held-back TIF settles after the appeal resolves. Treating timing as cost is double-counting (already embedded in his Amort_Rolling_Appeal sheet) and exaggerates the negative.</t>
  </si>
  <si>
    <t xml:space="preserve">🟠 Moderate</t>
  </si>
  <si>
    <t xml:space="preserve">Wrong discount rate</t>
  </si>
  <si>
    <t xml:space="preserve">Inputs!B14 = 8% discount rate. Applied to future TIF receipts.</t>
  </si>
  <si>
    <t xml:space="preserve">TIF Note carries 4.60% interest. KA Nov-25 analysis uses 5% per Ehlers. Discounting future TIF at 8% systematically understates NPV by ~3 pts/yr compounded vs. the asset's actual cost of capital for this cash stream.</t>
  </si>
  <si>
    <t xml:space="preserve">Wrong sensitivity axis</t>
  </si>
  <si>
    <t xml:space="preserve">Sensitivity_Analysis flexes Market Growth Rate. Conclusion: "Under the 5-Yr Historical CAGR (-1.08%) the appeal is slightly net-negative."</t>
  </si>
  <si>
    <t xml:space="preserve">Growth rate has minimal effect on the appeal decision because the appealed value (currently $52.15M, MAA floor $43.835M) is below market for at least 5+ years under any plausible growth scenario. The CORRECT sensitivity is over appeal target — every target produces positive net benefit (Sensitivity_Appeal tab).</t>
  </si>
  <si>
    <t xml:space="preserve">Cherry-picks growth period</t>
  </si>
  <si>
    <t xml:space="preserve">Argues for using 5-Yr CAGR (-1.08%) because "post-2021 has been declining 4 of 5 years." Discards the 10-Yr CAGR as "front-loaded."</t>
  </si>
  <si>
    <t xml:space="preserve">Both CAGRs are arbitrary. The relevant question is the appeal target, not the growth path. But for completeness: Class rate, tax capacity rate, and MAA floor are FIXED by statute / contract — growth uncertainty is asymmetric to the upside (more growth = bigger appeal opportunity later).</t>
  </si>
  <si>
    <t xml:space="preserve">🟡 Minor</t>
  </si>
  <si>
    <t xml:space="preserve">Ignores TIF Note payoff acceleration</t>
  </si>
  <si>
    <t xml:space="preserve">Treats earlier payoff at higher TMV as a "good thing" implicitly (Investor_Summary B6 vs B7, "Difference in Outstanding Balance: $1,287,217.41" framed neutrally).</t>
  </si>
  <si>
    <t xml:space="preserve">Per KA Nov-25 pg 14: lower TMV = MORE interest collected on TIF Note over life (TIF Note interest flows to ownership). $50M scenario produces $1.8M MORE interest collected than $54.86M scenario. Shaver omits this entirely.</t>
  </si>
  <si>
    <t xml:space="preserve">Misrepresents income restrictions</t>
  </si>
  <si>
    <t xml:space="preserve">Investor_Summary A19: "Income Restrictions are removed after TIF is complete" — implying later payoff is bad because affordability lingers.</t>
  </si>
  <si>
    <t xml:space="preserve">TIF still retires before contractual maturity (2/1/2046) in EVERY appeal scenario. Per KA Nov-25: aggressive $50M scenario retires Note 2/1/2044. Income restrictions end at TIF termination regardless of appeal.</t>
  </si>
  <si>
    <t xml:space="preserve">Attorney fee structure — fundamental error</t>
  </si>
  <si>
    <t xml:space="preserve">Shaver Cash Savings tab applies 25% to EVERY year of tax savings across the 10-year horizon ($373,694 cumulative per Investor_Summary B12). This is wrong on its face: contingency fees are paid ONCE per successful petition, at settlement, equal to 25% of the FIRST YEAR's savings achieved.</t>
  </si>
  <si>
    <t xml:space="preserve">Per Attorney_Fees tab: 3 appeal events over 19 years (current + 2030 + 2036), 25% × first-year savings each. Total fee for Aggressive Scenario = ~$98K nominal vs. Shaver's implied $373K. Even with this corrected fee burden subtracted, every scenario remains net positive. Shaver overstates fees ~4-19x depending on appeal cadence.</t>
  </si>
  <si>
    <t xml:space="preserve">Misses portfolio precedent</t>
  </si>
  <si>
    <t xml:space="preserve">No discussion of recent appeals at the property.</t>
  </si>
  <si>
    <t xml:space="preserve">KA Nov-25 Historical TIF table: 2024 TIF Paid = $1,046,813 (vs. 2023 = $418,365). The 2024 figure includes retroactive corrections from prior-year appeals. Appeals at this property have already been productive.</t>
  </si>
  <si>
    <t xml:space="preserve">Misses asymmetric upside</t>
  </si>
  <si>
    <t xml:space="preserve">Treats decision as "should we appeal at all" binary.</t>
  </si>
  <si>
    <t xml:space="preserve">Decision space is "how deep to appeal." Sensitivity_Appeal tab: net benefit grows monotonically as appeal target drops. The MAA floor produces ~5x the NPV benefit of the Mid Appeal at $52.15M.</t>
  </si>
  <si>
    <t xml:space="preserve">Base NTC ignored (Original Net Tax Capacity = 0)</t>
  </si>
  <si>
    <t xml:space="preserve">Treats the full TMV × ClassRate as captured tax capacity. Effectively assumes ONTC = $0, meaning ALL of the property's tax capacity is "captured" by the TIF District. This inflates baseline TIF receipts by ~5.4% (per Ehlers reconciliation).</t>
  </si>
  <si>
    <t xml:space="preserve">Uses ONTC of $37,179 (reverse-engineered from Ehlers' published numbers, consistent with TIF Plan §2-8 which establishes ONTC based on 2017-pay-2018 pre-development assessment). With correct ONTC, the model reproduces Ehlers' published $746K baseline / $588K MAA-floor annual TIF figures EXACTLY. Effect on the analysis: TIF flows ~5% lower across all scenarios; Note payoff pushes back ~1 year per scenario; net benefit case for appealing GETS STRONGER (cost side smaller, savings side unchanged).</t>
  </si>
  <si>
    <t xml:space="preserve">Year-6 formula off-by-one errors (formula bugs)</t>
  </si>
  <si>
    <t xml:space="preserve">Multiple formulas in Year 6 reference the prior year's values instead of Year 6's own values. Specifically: Increment_Comparison!E8 (TIF No Appeal Yr6) uses B7 instead of B8. Same off-by-one repeats in Sensitivity_Analysis rows H42, H49, H56, H63, H70, H77, H84 (Year-6 TIF Rev Reduction formulas across all 7 sensitivity scenarios). Also Increment_Comparison!C3:C12 (Appeal Value column) and G4:G12 (Pending @ Min) each have a one-row lag.</t>
  </si>
  <si>
    <t xml:space="preserve">This model uses indexed formulas that reference each row's own data, eliminating any year-to-year drift. Individual dollar impact per bug is small (~$3K-$25K cumulative across scenarios), but the pattern indicates the Shaver model was not audited — reduces confidence in the larger framing decisions.</t>
  </si>
</sst>
</file>

<file path=xl/styles.xml><?xml version="1.0" encoding="utf-8"?>
<styleSheet xmlns="http://schemas.openxmlformats.org/spreadsheetml/2006/main">
  <numFmts count="10">
    <numFmt numFmtId="164" formatCode="General"/>
    <numFmt numFmtId="165" formatCode="0.00%;[RED]\(0.00%\);\-"/>
    <numFmt numFmtId="166" formatCode="_-\$* #,##0_-;[RED]_-\$* \(#,##0\)_-;_-\$* \-_-"/>
    <numFmt numFmtId="167" formatCode="0"/>
    <numFmt numFmtId="168" formatCode="0.0%;[RED]\(0.0%\);\-"/>
    <numFmt numFmtId="169" formatCode="0.0000"/>
    <numFmt numFmtId="170" formatCode="0.0\x"/>
    <numFmt numFmtId="171" formatCode="0.00%"/>
    <numFmt numFmtId="172" formatCode="0.00000"/>
    <numFmt numFmtId="173" formatCode="General"/>
  </numFmts>
  <fonts count="26">
    <font>
      <sz val="11"/>
      <color theme="1"/>
      <name val="Calibri"/>
      <family val="2"/>
      <charset val="1"/>
    </font>
    <font>
      <sz val="10"/>
      <name val="Arial"/>
      <family val="0"/>
    </font>
    <font>
      <sz val="10"/>
      <name val="Arial"/>
      <family val="0"/>
    </font>
    <font>
      <sz val="10"/>
      <name val="Arial"/>
      <family val="0"/>
    </font>
    <font>
      <b val="true"/>
      <sz val="14"/>
      <color rgb="FF1F4E78"/>
      <name val="Calibri"/>
      <family val="0"/>
      <charset val="1"/>
    </font>
    <font>
      <i val="true"/>
      <sz val="11"/>
      <color rgb="FF595959"/>
      <name val="Calibri"/>
      <family val="0"/>
      <charset val="1"/>
    </font>
    <font>
      <b val="true"/>
      <sz val="12"/>
      <color rgb="FF1F4E78"/>
      <name val="Calibri"/>
      <family val="0"/>
      <charset val="1"/>
    </font>
    <font>
      <sz val="11"/>
      <color rgb="FF0000FF"/>
      <name val="Calibri"/>
      <family val="0"/>
      <charset val="1"/>
    </font>
    <font>
      <sz val="11"/>
      <color rgb="FF000000"/>
      <name val="Calibri"/>
      <family val="0"/>
      <charset val="1"/>
    </font>
    <font>
      <sz val="11"/>
      <color rgb="FF006100"/>
      <name val="Calibri"/>
      <family val="0"/>
      <charset val="1"/>
    </font>
    <font>
      <sz val="11"/>
      <name val="Calibri"/>
      <family val="0"/>
      <charset val="1"/>
    </font>
    <font>
      <i val="true"/>
      <sz val="10"/>
      <color rgb="FF595959"/>
      <name val="Calibri"/>
      <family val="0"/>
      <charset val="1"/>
    </font>
    <font>
      <b val="true"/>
      <sz val="11"/>
      <color rgb="FFFFFFFF"/>
      <name val="Calibri"/>
      <family val="0"/>
      <charset val="1"/>
    </font>
    <font>
      <b val="true"/>
      <sz val="11"/>
      <name val="Calibri"/>
      <family val="0"/>
      <charset val="1"/>
    </font>
    <font>
      <i val="true"/>
      <sz val="11"/>
      <name val="Calibri"/>
      <family val="0"/>
      <charset val="1"/>
    </font>
    <font>
      <i val="true"/>
      <sz val="9"/>
      <color rgb="FFFFFFFF"/>
      <name val="Calibri"/>
      <family val="0"/>
      <charset val="1"/>
    </font>
    <font>
      <b val="true"/>
      <sz val="11"/>
      <color rgb="FF006100"/>
      <name val="Calibri"/>
      <family val="0"/>
      <charset val="1"/>
    </font>
    <font>
      <b val="true"/>
      <i val="true"/>
      <sz val="11"/>
      <color rgb="FF1F4E78"/>
      <name val="Calibri"/>
      <family val="0"/>
      <charset val="1"/>
    </font>
    <font>
      <b val="true"/>
      <i val="true"/>
      <sz val="10"/>
      <color rgb="FF1F4E78"/>
      <name val="Calibri"/>
      <family val="0"/>
      <charset val="1"/>
    </font>
    <font>
      <sz val="10"/>
      <name val="Calibri"/>
      <family val="0"/>
      <charset val="1"/>
    </font>
    <font>
      <sz val="10"/>
      <color rgb="FF0000FF"/>
      <name val="Calibri"/>
      <family val="0"/>
      <charset val="1"/>
    </font>
    <font>
      <b val="true"/>
      <sz val="12"/>
      <color rgb="FF006100"/>
      <name val="Calibri"/>
      <family val="0"/>
      <charset val="1"/>
    </font>
    <font>
      <b val="true"/>
      <sz val="10"/>
      <color rgb="FFFFFFFF"/>
      <name val="Calibri"/>
      <family val="0"/>
      <charset val="1"/>
    </font>
    <font>
      <b val="true"/>
      <sz val="10"/>
      <color rgb="FF000000"/>
      <name val="Calibri"/>
      <family val="0"/>
      <charset val="1"/>
    </font>
    <font>
      <b val="true"/>
      <sz val="10"/>
      <name val="Calibri"/>
      <family val="0"/>
      <charset val="1"/>
    </font>
    <font>
      <i val="true"/>
      <sz val="11"/>
      <color rgb="FF595959"/>
      <name val="Cambria"/>
      <family val="0"/>
      <charset val="1"/>
    </font>
  </fonts>
  <fills count="12">
    <fill>
      <patternFill patternType="none"/>
    </fill>
    <fill>
      <patternFill patternType="gray125"/>
    </fill>
    <fill>
      <patternFill patternType="solid">
        <fgColor rgb="FFD9E1F2"/>
        <bgColor rgb="FFE7E6E6"/>
      </patternFill>
    </fill>
    <fill>
      <patternFill patternType="solid">
        <fgColor rgb="FFFFF2CC"/>
        <bgColor rgb="FFFCE4D6"/>
      </patternFill>
    </fill>
    <fill>
      <patternFill patternType="solid">
        <fgColor rgb="FF1F4E78"/>
        <bgColor rgb="FF003366"/>
      </patternFill>
    </fill>
    <fill>
      <patternFill patternType="solid">
        <fgColor rgb="FFE2EFDA"/>
        <bgColor rgb="FFE7E6E6"/>
      </patternFill>
    </fill>
    <fill>
      <patternFill patternType="solid">
        <fgColor rgb="FFC6EFCE"/>
        <bgColor rgb="FFE2EFDA"/>
      </patternFill>
    </fill>
    <fill>
      <patternFill patternType="solid">
        <fgColor rgb="FFE7E6E6"/>
        <bgColor rgb="FFE2EFDA"/>
      </patternFill>
    </fill>
    <fill>
      <patternFill patternType="solid">
        <fgColor rgb="FF2E75B6"/>
        <bgColor rgb="FF0066CC"/>
      </patternFill>
    </fill>
    <fill>
      <patternFill patternType="solid">
        <fgColor rgb="FFFFE699"/>
        <bgColor rgb="FFFFF2CC"/>
      </patternFill>
    </fill>
    <fill>
      <patternFill patternType="solid">
        <fgColor rgb="FFFFC7CE"/>
        <bgColor rgb="FFFCE4D6"/>
      </patternFill>
    </fill>
    <fill>
      <patternFill patternType="solid">
        <fgColor rgb="FFFCE4D6"/>
        <bgColor rgb="FFFFF2CC"/>
      </patternFill>
    </fill>
  </fills>
  <borders count="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right style="thin">
        <color rgb="FF808080"/>
      </right>
      <top/>
      <bottom/>
      <diagonal/>
    </border>
    <border diagonalUp="false" diagonalDown="false">
      <left style="medium">
        <color rgb="FF006100"/>
      </left>
      <right style="medium">
        <color rgb="FF006100"/>
      </right>
      <top style="medium">
        <color rgb="FF006100"/>
      </top>
      <bottom style="medium">
        <color rgb="FF006100"/>
      </bottom>
      <diagonal/>
    </border>
    <border diagonalUp="false" diagonalDown="false">
      <left/>
      <right/>
      <top style="thin">
        <color rgb="FF808080"/>
      </top>
      <bottom style="thin">
        <color rgb="FF808080"/>
      </bottom>
      <diagonal/>
    </border>
    <border diagonalUp="false" diagonalDown="false">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6" fontId="7" fillId="3" borderId="1" xfId="0" applyFont="true" applyBorder="true" applyAlignment="true" applyProtection="false">
      <alignment horizontal="right" vertical="center" textRotation="0" wrapText="false" indent="0" shrinkToFit="false"/>
      <protection locked="true" hidden="false"/>
    </xf>
    <xf numFmtId="164" fontId="7" fillId="3" borderId="1" xfId="0" applyFont="true" applyBorder="true" applyAlignment="true" applyProtection="false">
      <alignment horizontal="right" vertical="center" textRotation="0" wrapText="false" indent="0" shrinkToFit="false"/>
      <protection locked="true" hidden="false"/>
    </xf>
    <xf numFmtId="167" fontId="7" fillId="3" borderId="1"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8" fontId="7" fillId="3" borderId="1" xfId="0" applyFont="true" applyBorder="true" applyAlignment="true" applyProtection="false">
      <alignment horizontal="right" vertical="center"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right" vertical="center" textRotation="0" wrapText="fals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6" fontId="13" fillId="5" borderId="1" xfId="0" applyFont="true" applyBorder="true" applyAlignment="true" applyProtection="false">
      <alignment horizontal="right"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7" fontId="7" fillId="3" borderId="1" xfId="0" applyFont="true" applyBorder="true" applyAlignment="true" applyProtection="false">
      <alignment horizontal="center" vertical="center" textRotation="0" wrapText="true" indent="0" shrinkToFit="false"/>
      <protection locked="true" hidden="false"/>
    </xf>
    <xf numFmtId="169" fontId="8" fillId="0" borderId="1" xfId="0" applyFont="true" applyBorder="true" applyAlignment="true" applyProtection="false">
      <alignment horizontal="righ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7" fontId="0" fillId="3" borderId="1" xfId="0" applyFont="fals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6" fontId="9" fillId="5" borderId="1" xfId="0" applyFont="true" applyBorder="true" applyAlignment="true" applyProtection="false">
      <alignment horizontal="right" vertical="center" textRotation="0" wrapText="false" indent="0" shrinkToFit="false"/>
      <protection locked="true" hidden="false"/>
    </xf>
    <xf numFmtId="166" fontId="8" fillId="5" borderId="1" xfId="0" applyFont="true" applyBorder="true" applyAlignment="true" applyProtection="false">
      <alignment horizontal="right" vertical="center" textRotation="0" wrapText="false" indent="0" shrinkToFit="false"/>
      <protection locked="true" hidden="false"/>
    </xf>
    <xf numFmtId="170" fontId="8" fillId="5" borderId="1" xfId="0" applyFont="true" applyBorder="true" applyAlignment="true" applyProtection="false">
      <alignment horizontal="right" vertical="center" textRotation="0" wrapText="false" indent="0" shrinkToFit="false"/>
      <protection locked="true" hidden="false"/>
    </xf>
    <xf numFmtId="164" fontId="14" fillId="6" borderId="0"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6" fontId="13" fillId="5"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7" fontId="13" fillId="5" borderId="0" xfId="0" applyFont="true" applyBorder="false" applyAlignment="true" applyProtection="false">
      <alignment horizontal="general" vertical="bottom" textRotation="0" wrapText="false" indent="0" shrinkToFit="false"/>
      <protection locked="true" hidden="false"/>
    </xf>
    <xf numFmtId="166" fontId="13" fillId="5" borderId="0" xfId="0" applyFont="true" applyBorder="false" applyAlignment="true" applyProtection="false">
      <alignment horizontal="general" vertical="bottom" textRotation="0" wrapText="false" indent="0" shrinkToFit="false"/>
      <protection locked="true" hidden="false"/>
    </xf>
    <xf numFmtId="167" fontId="16" fillId="0" borderId="1" xfId="0" applyFont="true" applyBorder="true" applyAlignment="true" applyProtection="false">
      <alignment horizontal="right" vertical="center" textRotation="0" wrapText="false" indent="0" shrinkToFit="false"/>
      <protection locked="true" hidden="false"/>
    </xf>
    <xf numFmtId="166" fontId="16" fillId="0" borderId="1" xfId="0" applyFont="true" applyBorder="true" applyAlignment="true" applyProtection="false">
      <alignment horizontal="right" vertical="center" textRotation="0" wrapText="fals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6" fontId="16" fillId="6" borderId="1" xfId="0" applyFont="true" applyBorder="true" applyAlignment="true" applyProtection="false">
      <alignment horizontal="right" vertical="center" textRotation="0" wrapText="false" indent="0" shrinkToFit="false"/>
      <protection locked="true" hidden="false"/>
    </xf>
    <xf numFmtId="164" fontId="17" fillId="7" borderId="0"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4" fontId="13" fillId="5" borderId="2" xfId="0" applyFont="true" applyBorder="true" applyAlignment="true" applyProtection="false">
      <alignment horizontal="general" vertical="bottom" textRotation="0" wrapText="false" indent="0" shrinkToFit="false"/>
      <protection locked="true" hidden="false"/>
    </xf>
    <xf numFmtId="166" fontId="13" fillId="6" borderId="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18" fillId="0"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71" fontId="20" fillId="3" borderId="1" xfId="0" applyFont="true" applyBorder="true" applyAlignment="true" applyProtection="false">
      <alignment horizontal="general" vertical="bottom" textRotation="0" wrapText="false" indent="0" shrinkToFit="false"/>
      <protection locked="true" hidden="false"/>
    </xf>
    <xf numFmtId="166" fontId="20" fillId="3"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center" textRotation="0" wrapText="true" indent="0" shrinkToFit="false"/>
      <protection locked="true" hidden="false"/>
    </xf>
    <xf numFmtId="164" fontId="21" fillId="6" borderId="3" xfId="0" applyFont="true" applyBorder="true" applyAlignment="true" applyProtection="false">
      <alignment horizontal="left" vertical="center" textRotation="0" wrapText="true" indent="0" shrinkToFit="false"/>
      <protection locked="true" hidden="false"/>
    </xf>
    <xf numFmtId="164" fontId="12" fillId="8" borderId="0" xfId="0" applyFont="true" applyBorder="false" applyAlignment="true" applyProtection="false">
      <alignment horizontal="general" vertical="bottom" textRotation="0" wrapText="false" indent="0" shrinkToFit="false"/>
      <protection locked="true" hidden="false"/>
    </xf>
    <xf numFmtId="164" fontId="22" fillId="4" borderId="1" xfId="0" applyFont="true" applyBorder="true" applyAlignment="true" applyProtection="false">
      <alignment horizontal="center" vertical="center" textRotation="0" wrapText="true" indent="0" shrinkToFit="false"/>
      <protection locked="true" hidden="false"/>
    </xf>
    <xf numFmtId="167" fontId="23" fillId="9" borderId="1" xfId="0" applyFont="true" applyBorder="true" applyAlignment="true" applyProtection="false">
      <alignment horizontal="center" vertical="center" textRotation="0" wrapText="true" indent="0" shrinkToFit="false"/>
      <protection locked="true" hidden="false"/>
    </xf>
    <xf numFmtId="167" fontId="22" fillId="4" borderId="1" xfId="0" applyFont="true" applyBorder="true" applyAlignment="true" applyProtection="false">
      <alignment horizontal="center" vertical="center" textRotation="0" wrapText="tru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6" fontId="19" fillId="0"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66" fontId="24" fillId="5" borderId="1" xfId="0" applyFont="true" applyBorder="true" applyAlignment="true" applyProtection="false">
      <alignment horizontal="right" vertical="center" textRotation="0" wrapText="false" indent="0" shrinkToFit="false"/>
      <protection locked="true" hidden="false"/>
    </xf>
    <xf numFmtId="166" fontId="24" fillId="3" borderId="1" xfId="0" applyFont="true" applyBorder="true" applyAlignment="true" applyProtection="false">
      <alignment horizontal="right" vertical="center" textRotation="0" wrapText="false" indent="0" shrinkToFit="false"/>
      <protection locked="true" hidden="false"/>
    </xf>
    <xf numFmtId="164" fontId="24" fillId="2" borderId="1" xfId="0" applyFont="true" applyBorder="true" applyAlignment="true" applyProtection="false">
      <alignment horizontal="left" vertical="center" textRotation="0" wrapText="true" indent="0" shrinkToFit="false"/>
      <protection locked="true" hidden="false"/>
    </xf>
    <xf numFmtId="166" fontId="24" fillId="2"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6" fontId="11" fillId="0" borderId="1" xfId="0" applyFont="true" applyBorder="true" applyAlignment="true" applyProtection="false">
      <alignment horizontal="right" vertical="center" textRotation="0" wrapText="false" indent="0" shrinkToFit="false"/>
      <protection locked="true" hidden="false"/>
    </xf>
    <xf numFmtId="166" fontId="19" fillId="9" borderId="1" xfId="0" applyFont="true" applyBorder="true" applyAlignment="true" applyProtection="false">
      <alignment horizontal="right" vertical="center"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center" vertical="center" textRotation="0" wrapText="true" indent="0" shrinkToFit="false"/>
      <protection locked="true" hidden="false"/>
    </xf>
    <xf numFmtId="166" fontId="16" fillId="6" borderId="0" xfId="0" applyFont="true" applyBorder="false" applyAlignment="true" applyProtection="false">
      <alignment horizontal="general" vertical="bottom" textRotation="0" wrapText="false" indent="0" shrinkToFit="false"/>
      <protection locked="true" hidden="false"/>
    </xf>
    <xf numFmtId="166" fontId="24" fillId="6" borderId="1" xfId="0" applyFont="true" applyBorder="true" applyAlignment="true" applyProtection="false">
      <alignment horizontal="right" vertical="center" textRotation="0" wrapText="false" indent="0" shrinkToFit="false"/>
      <protection locked="true" hidden="false"/>
    </xf>
    <xf numFmtId="164" fontId="16" fillId="6" borderId="0" xfId="0" applyFont="true" applyBorder="true" applyAlignment="true" applyProtection="false">
      <alignment horizontal="left" vertical="center"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72" fontId="9" fillId="0" borderId="1" xfId="0" applyFont="true" applyBorder="true" applyAlignment="true" applyProtection="false">
      <alignment horizontal="right" vertical="center"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4" fontId="13" fillId="6" borderId="0" xfId="0" applyFont="true" applyBorder="fals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73" fontId="10"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6" fontId="25" fillId="0" borderId="1" xfId="0" applyFont="true" applyBorder="true" applyAlignment="true" applyProtection="false">
      <alignment horizontal="right" vertical="center" textRotation="0" wrapText="false" indent="0" shrinkToFit="false"/>
      <protection locked="true" hidden="false"/>
    </xf>
    <xf numFmtId="164" fontId="25" fillId="0" borderId="1" xfId="0" applyFont="true" applyBorder="true" applyAlignment="true" applyProtection="false">
      <alignment horizontal="right" vertical="center" textRotation="0" wrapText="fals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left" vertical="center" textRotation="0" wrapText="true" indent="0" shrinkToFit="false"/>
      <protection locked="true" hidden="false"/>
    </xf>
    <xf numFmtId="164" fontId="10" fillId="10" borderId="1" xfId="0" applyFont="true" applyBorder="true" applyAlignment="true" applyProtection="false">
      <alignment horizontal="left" vertical="center" textRotation="0" wrapText="true" indent="0" shrinkToFit="false"/>
      <protection locked="true" hidden="false"/>
    </xf>
    <xf numFmtId="164" fontId="13" fillId="11" borderId="1" xfId="0" applyFont="true" applyBorder="true" applyAlignment="true" applyProtection="false">
      <alignment horizontal="center" vertical="center" textRotation="0" wrapText="true" indent="0" shrinkToFit="false"/>
      <protection locked="true" hidden="false"/>
    </xf>
    <xf numFmtId="164" fontId="13" fillId="11" borderId="1" xfId="0" applyFont="true" applyBorder="true" applyAlignment="true" applyProtection="false">
      <alignment horizontal="left" vertical="center" textRotation="0" wrapText="true" indent="0" shrinkToFit="false"/>
      <protection locked="true" hidden="false"/>
    </xf>
    <xf numFmtId="164" fontId="10" fillId="11" borderId="1"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FCE4D6"/>
      <rgbColor rgb="FF808080"/>
      <rgbColor rgb="FF9999FF"/>
      <rgbColor rgb="FF993366"/>
      <rgbColor rgb="FFFFF2CC"/>
      <rgbColor rgb="FFE2EFD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7E6E6"/>
      <rgbColor rgb="FFC6EFCE"/>
      <rgbColor rgb="FFFFE699"/>
      <rgbColor rgb="FF99CCFF"/>
      <rgbColor rgb="FFFF99CC"/>
      <rgbColor rgb="FFCC99FF"/>
      <rgbColor rgb="FFFFC7CE"/>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8" hidden="false" customHeight="true" outlineLevel="0" collapsed="false">
      <c r="A1" s="2" t="s">
        <v>0</v>
      </c>
    </row>
    <row r="2" customFormat="false" ht="15" hidden="false" customHeight="true" outlineLevel="0" collapsed="false">
      <c r="A2" s="3"/>
    </row>
    <row r="3" customFormat="false" ht="15" hidden="false" customHeight="true" outlineLevel="0" collapsed="false">
      <c r="A3" s="4" t="s">
        <v>1</v>
      </c>
    </row>
    <row r="4" customFormat="false" ht="15" hidden="false" customHeight="true" outlineLevel="0" collapsed="false">
      <c r="A4" s="4" t="s">
        <v>2</v>
      </c>
    </row>
    <row r="5" customFormat="false" ht="15" hidden="false" customHeight="true" outlineLevel="0" collapsed="false">
      <c r="A5" s="4" t="s">
        <v>3</v>
      </c>
    </row>
    <row r="6" customFormat="false" ht="15" hidden="false" customHeight="true" outlineLevel="0" collapsed="false">
      <c r="A6" s="3"/>
    </row>
    <row r="7" customFormat="false" ht="15" hidden="false" customHeight="true" outlineLevel="0" collapsed="false">
      <c r="A7" s="5" t="s">
        <v>4</v>
      </c>
    </row>
    <row r="8" customFormat="false" ht="68.25" hidden="false" customHeight="true" outlineLevel="0" collapsed="false">
      <c r="A8" s="3" t="s">
        <v>5</v>
      </c>
    </row>
    <row r="9" customFormat="false" ht="15" hidden="false" customHeight="true" outlineLevel="0" collapsed="false">
      <c r="A9" s="3"/>
    </row>
    <row r="10" customFormat="false" ht="15" hidden="false" customHeight="true" outlineLevel="0" collapsed="false">
      <c r="A10" s="5" t="s">
        <v>6</v>
      </c>
    </row>
    <row r="11" customFormat="false" ht="15" hidden="false" customHeight="true" outlineLevel="0" collapsed="false">
      <c r="A11" s="6" t="s">
        <v>7</v>
      </c>
    </row>
    <row r="12" customFormat="false" ht="15" hidden="false" customHeight="true" outlineLevel="0" collapsed="false">
      <c r="A12" s="7" t="s">
        <v>8</v>
      </c>
    </row>
    <row r="13" customFormat="false" ht="15" hidden="false" customHeight="true" outlineLevel="0" collapsed="false">
      <c r="A13" s="8" t="s">
        <v>9</v>
      </c>
    </row>
    <row r="14" customFormat="false" ht="15" hidden="false" customHeight="true" outlineLevel="0" collapsed="false">
      <c r="A14" s="3"/>
    </row>
    <row r="15" customFormat="false" ht="15" hidden="false" customHeight="true" outlineLevel="0" collapsed="false">
      <c r="A15" s="5" t="s">
        <v>10</v>
      </c>
    </row>
    <row r="16" customFormat="false" ht="15" hidden="false" customHeight="true" outlineLevel="0" collapsed="false">
      <c r="A16" s="3" t="s">
        <v>11</v>
      </c>
    </row>
    <row r="17" customFormat="false" ht="15" hidden="false" customHeight="true" outlineLevel="0" collapsed="false">
      <c r="A17" s="3" t="s">
        <v>12</v>
      </c>
    </row>
    <row r="18" customFormat="false" ht="15" hidden="false" customHeight="true" outlineLevel="0" collapsed="false">
      <c r="A18" s="3" t="s">
        <v>13</v>
      </c>
    </row>
    <row r="19" customFormat="false" ht="15" hidden="false" customHeight="true" outlineLevel="0" collapsed="false">
      <c r="A19" s="3" t="s">
        <v>14</v>
      </c>
    </row>
    <row r="20" customFormat="false" ht="15" hidden="false" customHeight="true" outlineLevel="0" collapsed="false">
      <c r="A20" s="3" t="s">
        <v>15</v>
      </c>
    </row>
    <row r="21" customFormat="false" ht="15" hidden="false" customHeight="true" outlineLevel="0" collapsed="false">
      <c r="A21" s="3" t="s">
        <v>16</v>
      </c>
    </row>
    <row r="22" customFormat="false" ht="15" hidden="false" customHeight="true" outlineLevel="0" collapsed="false">
      <c r="A22" s="3" t="s">
        <v>17</v>
      </c>
    </row>
    <row r="23" customFormat="false" ht="15" hidden="false" customHeight="true" outlineLevel="0" collapsed="false">
      <c r="A23" s="3" t="s">
        <v>18</v>
      </c>
    </row>
    <row r="24" customFormat="false" ht="15" hidden="false" customHeight="true" outlineLevel="0" collapsed="false">
      <c r="A24" s="3" t="s">
        <v>19</v>
      </c>
    </row>
    <row r="25" customFormat="false" ht="15" hidden="false" customHeight="true" outlineLevel="0" collapsed="false">
      <c r="A25" s="3" t="s">
        <v>20</v>
      </c>
    </row>
    <row r="26" customFormat="false" ht="15" hidden="false" customHeight="true" outlineLevel="0" collapsed="false">
      <c r="A26" s="3"/>
    </row>
    <row r="27" customFormat="false" ht="15" hidden="false" customHeight="true" outlineLevel="0" collapsed="false">
      <c r="A27" s="5" t="s">
        <v>21</v>
      </c>
    </row>
    <row r="28" customFormat="false" ht="15" hidden="false" customHeight="true" outlineLevel="0" collapsed="false">
      <c r="A28" s="3" t="s">
        <v>22</v>
      </c>
    </row>
    <row r="29" customFormat="false" ht="15" hidden="false" customHeight="true" outlineLevel="0" collapsed="false">
      <c r="A29" s="3" t="s">
        <v>23</v>
      </c>
    </row>
    <row r="30" customFormat="false" ht="15" hidden="false" customHeight="true" outlineLevel="0" collapsed="false">
      <c r="A30" s="3" t="s">
        <v>24</v>
      </c>
    </row>
    <row r="31" customFormat="false" ht="15" hidden="false" customHeight="true" outlineLevel="0" collapsed="false">
      <c r="A31" s="3" t="s">
        <v>25</v>
      </c>
    </row>
    <row r="32" customFormat="false" ht="15" hidden="false" customHeight="true" outlineLevel="0" collapsed="false">
      <c r="A32" s="3" t="s">
        <v>26</v>
      </c>
    </row>
    <row r="33" customFormat="false" ht="15" hidden="false" customHeight="true" outlineLevel="0" collapsed="false">
      <c r="A33" s="3" t="s">
        <v>27</v>
      </c>
    </row>
    <row r="34" customFormat="false" ht="15" hidden="false" customHeight="true" outlineLevel="0" collapsed="false">
      <c r="A34" s="3"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8"/>
    <col collapsed="false" customWidth="true" hidden="false" outlineLevel="0" max="3" min="3" style="1" width="75"/>
  </cols>
  <sheetData>
    <row r="1" customFormat="false" ht="17.25" hidden="false" customHeight="true" outlineLevel="0" collapsed="false">
      <c r="A1" s="9" t="s">
        <v>29</v>
      </c>
      <c r="B1" s="9"/>
      <c r="C1" s="9"/>
    </row>
    <row r="3" customFormat="false" ht="15" hidden="false" customHeight="true" outlineLevel="0" collapsed="false">
      <c r="A3" s="10" t="s">
        <v>30</v>
      </c>
      <c r="B3" s="10"/>
      <c r="C3" s="10"/>
    </row>
    <row r="4" customFormat="false" ht="15" hidden="false" customHeight="true" outlineLevel="0" collapsed="false">
      <c r="A4" s="11" t="s">
        <v>31</v>
      </c>
      <c r="B4" s="12" t="n">
        <v>0.0125</v>
      </c>
      <c r="C4" s="13" t="s">
        <v>32</v>
      </c>
    </row>
    <row r="5" customFormat="false" ht="15" hidden="false" customHeight="true" outlineLevel="0" collapsed="false">
      <c r="A5" s="11" t="s">
        <v>33</v>
      </c>
      <c r="B5" s="14" t="n">
        <v>1.27866</v>
      </c>
      <c r="C5" s="13" t="s">
        <v>34</v>
      </c>
    </row>
    <row r="6" customFormat="false" ht="15" hidden="false" customHeight="true" outlineLevel="0" collapsed="false">
      <c r="A6" s="11" t="s">
        <v>35</v>
      </c>
      <c r="B6" s="12" t="n">
        <v>1</v>
      </c>
      <c r="C6" s="13" t="s">
        <v>36</v>
      </c>
    </row>
    <row r="7" customFormat="false" ht="15" hidden="false" customHeight="true" outlineLevel="0" collapsed="false">
      <c r="A7" s="11" t="s">
        <v>37</v>
      </c>
      <c r="B7" s="12" t="n">
        <v>0.1</v>
      </c>
      <c r="C7" s="13" t="s">
        <v>38</v>
      </c>
    </row>
    <row r="8" customFormat="false" ht="15" hidden="false" customHeight="true" outlineLevel="0" collapsed="false">
      <c r="A8" s="11" t="s">
        <v>39</v>
      </c>
      <c r="B8" s="12" t="n">
        <v>0.0036</v>
      </c>
      <c r="C8" s="13" t="s">
        <v>40</v>
      </c>
    </row>
    <row r="9" customFormat="false" ht="23.25" hidden="false" customHeight="true" outlineLevel="0" collapsed="false">
      <c r="A9" s="11" t="s">
        <v>41</v>
      </c>
      <c r="B9" s="14" t="n">
        <v>37179</v>
      </c>
      <c r="C9" s="13" t="s">
        <v>42</v>
      </c>
    </row>
    <row r="10" customFormat="false" ht="15" hidden="false" customHeight="true" outlineLevel="0" collapsed="false">
      <c r="A10" s="10"/>
      <c r="B10" s="10"/>
      <c r="C10" s="10"/>
    </row>
    <row r="11" customFormat="false" ht="15" hidden="false" customHeight="true" outlineLevel="0" collapsed="false">
      <c r="A11" s="10" t="s">
        <v>43</v>
      </c>
      <c r="B11" s="10"/>
      <c r="C11" s="10"/>
    </row>
    <row r="12" customFormat="false" ht="15" hidden="false" customHeight="true" outlineLevel="0" collapsed="false">
      <c r="A12" s="11" t="s">
        <v>44</v>
      </c>
      <c r="B12" s="14" t="n">
        <v>7142377</v>
      </c>
      <c r="C12" s="13" t="s">
        <v>45</v>
      </c>
    </row>
    <row r="13" customFormat="false" ht="15" hidden="false" customHeight="true" outlineLevel="0" collapsed="false">
      <c r="A13" s="11" t="s">
        <v>46</v>
      </c>
      <c r="B13" s="12" t="n">
        <v>0.046</v>
      </c>
      <c r="C13" s="13" t="s">
        <v>47</v>
      </c>
    </row>
    <row r="14" customFormat="false" ht="15" hidden="false" customHeight="true" outlineLevel="0" collapsed="false">
      <c r="A14" s="11" t="s">
        <v>48</v>
      </c>
      <c r="B14" s="15" t="s">
        <v>49</v>
      </c>
      <c r="C14" s="13" t="s">
        <v>50</v>
      </c>
    </row>
    <row r="15" customFormat="false" ht="23.25" hidden="false" customHeight="true" outlineLevel="0" collapsed="false">
      <c r="A15" s="11" t="s">
        <v>51</v>
      </c>
      <c r="B15" s="14" t="n">
        <v>7269118.57</v>
      </c>
      <c r="C15" s="13" t="s">
        <v>52</v>
      </c>
    </row>
    <row r="16" customFormat="false" ht="15" hidden="false" customHeight="true" outlineLevel="0" collapsed="false">
      <c r="A16" s="10"/>
      <c r="B16" s="10"/>
      <c r="C16" s="10"/>
    </row>
    <row r="17" customFormat="false" ht="15" hidden="false" customHeight="true" outlineLevel="0" collapsed="false">
      <c r="A17" s="10" t="s">
        <v>53</v>
      </c>
      <c r="B17" s="10"/>
      <c r="C17" s="10"/>
    </row>
    <row r="18" customFormat="false" ht="23.25" hidden="false" customHeight="true" outlineLevel="0" collapsed="false">
      <c r="A18" s="11" t="s">
        <v>54</v>
      </c>
      <c r="B18" s="14" t="n">
        <v>43835000</v>
      </c>
      <c r="C18" s="13" t="s">
        <v>55</v>
      </c>
    </row>
    <row r="19" customFormat="false" ht="15" hidden="false" customHeight="true" outlineLevel="0" collapsed="false">
      <c r="A19" s="11" t="s">
        <v>56</v>
      </c>
      <c r="B19" s="14" t="n">
        <v>54866000</v>
      </c>
      <c r="C19" s="13" t="s">
        <v>57</v>
      </c>
    </row>
    <row r="20" customFormat="false" ht="15" hidden="false" customHeight="true" outlineLevel="0" collapsed="false">
      <c r="A20" s="11" t="s">
        <v>58</v>
      </c>
      <c r="B20" s="14" t="n">
        <v>52150000</v>
      </c>
      <c r="C20" s="13" t="s">
        <v>59</v>
      </c>
    </row>
    <row r="21" customFormat="false" ht="23.25" hidden="false" customHeight="true" outlineLevel="0" collapsed="false">
      <c r="A21" s="11" t="s">
        <v>60</v>
      </c>
      <c r="B21" s="14" t="n">
        <v>52151000</v>
      </c>
      <c r="C21" s="13" t="s">
        <v>61</v>
      </c>
    </row>
    <row r="22" customFormat="false" ht="15" hidden="false" customHeight="true" outlineLevel="0" collapsed="false">
      <c r="A22" s="10"/>
      <c r="B22" s="10"/>
      <c r="C22" s="10"/>
    </row>
    <row r="23" customFormat="false" ht="15" hidden="false" customHeight="true" outlineLevel="0" collapsed="false">
      <c r="A23" s="10" t="s">
        <v>62</v>
      </c>
      <c r="B23" s="10"/>
      <c r="C23" s="10"/>
    </row>
    <row r="24" customFormat="false" ht="15" hidden="false" customHeight="true" outlineLevel="0" collapsed="false">
      <c r="A24" s="11" t="s">
        <v>63</v>
      </c>
      <c r="B24" s="14" t="n">
        <v>11031000</v>
      </c>
      <c r="C24" s="13" t="s">
        <v>64</v>
      </c>
    </row>
    <row r="25" customFormat="false" ht="15" hidden="false" customHeight="true" outlineLevel="0" collapsed="false">
      <c r="A25" s="11" t="s">
        <v>65</v>
      </c>
      <c r="B25" s="14" t="n">
        <v>137888</v>
      </c>
      <c r="C25" s="13" t="s">
        <v>66</v>
      </c>
    </row>
    <row r="26" customFormat="false" ht="15" hidden="false" customHeight="true" outlineLevel="0" collapsed="false">
      <c r="A26" s="11" t="s">
        <v>67</v>
      </c>
      <c r="B26" s="14" t="n">
        <v>176312</v>
      </c>
      <c r="C26" s="13" t="s">
        <v>68</v>
      </c>
    </row>
    <row r="27" customFormat="false" ht="15" hidden="false" customHeight="true" outlineLevel="0" collapsed="false">
      <c r="A27" s="11" t="s">
        <v>69</v>
      </c>
      <c r="B27" s="14" t="n">
        <v>158681</v>
      </c>
      <c r="C27" s="13" t="s">
        <v>70</v>
      </c>
    </row>
    <row r="28" customFormat="false" ht="15" hidden="false" customHeight="true" outlineLevel="0" collapsed="false">
      <c r="A28" s="11" t="s">
        <v>71</v>
      </c>
      <c r="B28" s="14" t="n">
        <v>2856258</v>
      </c>
      <c r="C28" s="13" t="s">
        <v>72</v>
      </c>
    </row>
    <row r="29" customFormat="false" ht="15" hidden="false" customHeight="true" outlineLevel="0" collapsed="false">
      <c r="A29" s="11" t="s">
        <v>73</v>
      </c>
      <c r="B29" s="16" t="n">
        <v>-180329</v>
      </c>
      <c r="C29" s="13" t="s">
        <v>74</v>
      </c>
    </row>
    <row r="30" customFormat="false" ht="15" hidden="false" customHeight="true" outlineLevel="0" collapsed="false">
      <c r="A30" s="11" t="s">
        <v>75</v>
      </c>
      <c r="B30" s="14" t="n">
        <v>2675929</v>
      </c>
      <c r="C30" s="13" t="s">
        <v>76</v>
      </c>
    </row>
    <row r="31" customFormat="false" ht="15" hidden="false" customHeight="true" outlineLevel="0" collapsed="false">
      <c r="A31" s="11" t="s">
        <v>77</v>
      </c>
      <c r="B31" s="14" t="n">
        <v>1100000</v>
      </c>
      <c r="C31" s="13" t="s">
        <v>78</v>
      </c>
    </row>
    <row r="32" customFormat="false" ht="15" hidden="false" customHeight="true" outlineLevel="0" collapsed="false">
      <c r="A32" s="10"/>
      <c r="B32" s="10"/>
      <c r="C32" s="10"/>
    </row>
    <row r="33" customFormat="false" ht="15" hidden="false" customHeight="true" outlineLevel="0" collapsed="false">
      <c r="A33" s="10" t="s">
        <v>79</v>
      </c>
      <c r="B33" s="10"/>
      <c r="C33" s="10"/>
    </row>
    <row r="34" customFormat="false" ht="23.25" hidden="false" customHeight="true" outlineLevel="0" collapsed="false">
      <c r="A34" s="11" t="s">
        <v>80</v>
      </c>
      <c r="B34" s="12" t="n">
        <v>0.05</v>
      </c>
      <c r="C34" s="13" t="s">
        <v>81</v>
      </c>
    </row>
  </sheetData>
  <mergeCells count="10">
    <mergeCell ref="A1:C1"/>
    <mergeCell ref="A3:C3"/>
    <mergeCell ref="A10:C10"/>
    <mergeCell ref="A11:C11"/>
    <mergeCell ref="A16:C16"/>
    <mergeCell ref="A17:C17"/>
    <mergeCell ref="A22:C22"/>
    <mergeCell ref="A23:C23"/>
    <mergeCell ref="A32:C32"/>
    <mergeCell ref="A33:C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7" min="2" style="1" width="22"/>
  </cols>
  <sheetData>
    <row r="1" customFormat="false" ht="17.25" hidden="false" customHeight="true" outlineLevel="0" collapsed="false">
      <c r="A1" s="9" t="s">
        <v>82</v>
      </c>
      <c r="B1" s="9"/>
      <c r="C1" s="9"/>
      <c r="D1" s="9"/>
      <c r="E1" s="9"/>
      <c r="F1" s="9"/>
      <c r="G1" s="9"/>
    </row>
    <row r="2" customFormat="false" ht="49.5" hidden="false" customHeight="true" outlineLevel="0" collapsed="false">
      <c r="A2" s="17" t="s">
        <v>83</v>
      </c>
      <c r="B2" s="17"/>
      <c r="C2" s="17"/>
      <c r="D2" s="17"/>
      <c r="E2" s="17"/>
      <c r="F2" s="17"/>
      <c r="G2" s="17"/>
    </row>
    <row r="4" customFormat="false" ht="36" hidden="false" customHeight="true" outlineLevel="0" collapsed="false">
      <c r="A4" s="18" t="s">
        <v>84</v>
      </c>
      <c r="B4" s="18" t="s">
        <v>85</v>
      </c>
      <c r="C4" s="18" t="s">
        <v>86</v>
      </c>
      <c r="D4" s="18" t="s">
        <v>87</v>
      </c>
      <c r="E4" s="18" t="s">
        <v>88</v>
      </c>
      <c r="F4" s="18"/>
      <c r="G4" s="18"/>
    </row>
    <row r="5" customFormat="false" ht="15" hidden="false" customHeight="true" outlineLevel="0" collapsed="false">
      <c r="A5" s="19" t="n">
        <v>2026</v>
      </c>
      <c r="B5" s="14" t="n">
        <v>54866000</v>
      </c>
      <c r="C5" s="14" t="n">
        <v>52150000</v>
      </c>
      <c r="D5" s="14" t="n">
        <v>50000000</v>
      </c>
      <c r="E5" s="14" t="n">
        <v>43835000</v>
      </c>
    </row>
    <row r="6" customFormat="false" ht="15" hidden="false" customHeight="true" outlineLevel="0" collapsed="false">
      <c r="A6" s="19" t="n">
        <v>2027</v>
      </c>
      <c r="B6" s="14" t="n">
        <v>54866000</v>
      </c>
      <c r="C6" s="14" t="n">
        <v>52150000</v>
      </c>
      <c r="D6" s="14" t="n">
        <v>50000000</v>
      </c>
      <c r="E6" s="14" t="n">
        <v>43835000</v>
      </c>
    </row>
    <row r="7" customFormat="false" ht="15" hidden="false" customHeight="true" outlineLevel="0" collapsed="false">
      <c r="A7" s="19" t="n">
        <v>2028</v>
      </c>
      <c r="B7" s="14" t="n">
        <v>54866000</v>
      </c>
      <c r="C7" s="14" t="n">
        <v>52150000</v>
      </c>
      <c r="D7" s="14" t="n">
        <v>50000000</v>
      </c>
      <c r="E7" s="14" t="n">
        <v>43835000</v>
      </c>
    </row>
    <row r="8" customFormat="false" ht="15" hidden="false" customHeight="true" outlineLevel="0" collapsed="false">
      <c r="A8" s="19" t="n">
        <v>2029</v>
      </c>
      <c r="B8" s="14" t="n">
        <v>54866000</v>
      </c>
      <c r="C8" s="14" t="n">
        <v>52150000</v>
      </c>
      <c r="D8" s="14" t="n">
        <v>50000000</v>
      </c>
      <c r="E8" s="14" t="n">
        <v>43835000</v>
      </c>
    </row>
    <row r="9" customFormat="false" ht="15" hidden="false" customHeight="true" outlineLevel="0" collapsed="false">
      <c r="A9" s="19" t="n">
        <v>2030</v>
      </c>
      <c r="B9" s="14" t="n">
        <v>54866000</v>
      </c>
      <c r="C9" s="14" t="n">
        <v>52150000</v>
      </c>
      <c r="D9" s="14" t="n">
        <v>50000000</v>
      </c>
      <c r="E9" s="14" t="n">
        <v>43835000</v>
      </c>
    </row>
    <row r="10" customFormat="false" ht="15" hidden="false" customHeight="true" outlineLevel="0" collapsed="false">
      <c r="A10" s="19" t="n">
        <v>2031</v>
      </c>
      <c r="B10" s="14" t="n">
        <v>54866000</v>
      </c>
      <c r="C10" s="14" t="n">
        <v>52150000</v>
      </c>
      <c r="D10" s="14" t="n">
        <v>50000000</v>
      </c>
      <c r="E10" s="14" t="n">
        <v>43835000</v>
      </c>
    </row>
    <row r="11" customFormat="false" ht="15" hidden="false" customHeight="true" outlineLevel="0" collapsed="false">
      <c r="A11" s="19" t="n">
        <v>2032</v>
      </c>
      <c r="B11" s="14" t="n">
        <v>54866000</v>
      </c>
      <c r="C11" s="14" t="n">
        <v>52150000</v>
      </c>
      <c r="D11" s="14" t="n">
        <v>50000000</v>
      </c>
      <c r="E11" s="14" t="n">
        <v>43835000</v>
      </c>
    </row>
    <row r="12" customFormat="false" ht="15" hidden="false" customHeight="true" outlineLevel="0" collapsed="false">
      <c r="A12" s="19" t="n">
        <v>2033</v>
      </c>
      <c r="B12" s="14" t="n">
        <v>54866000</v>
      </c>
      <c r="C12" s="14" t="n">
        <v>52150000</v>
      </c>
      <c r="D12" s="14" t="n">
        <v>50000000</v>
      </c>
      <c r="E12" s="14" t="n">
        <v>43835000</v>
      </c>
    </row>
    <row r="13" customFormat="false" ht="15" hidden="false" customHeight="true" outlineLevel="0" collapsed="false">
      <c r="A13" s="19" t="n">
        <v>2034</v>
      </c>
      <c r="B13" s="14" t="n">
        <v>54866000</v>
      </c>
      <c r="C13" s="14" t="n">
        <v>52150000</v>
      </c>
      <c r="D13" s="14" t="n">
        <v>50000000</v>
      </c>
      <c r="E13" s="14" t="n">
        <v>43835000</v>
      </c>
    </row>
    <row r="14" customFormat="false" ht="15" hidden="false" customHeight="true" outlineLevel="0" collapsed="false">
      <c r="A14" s="19" t="n">
        <v>2035</v>
      </c>
      <c r="B14" s="14" t="n">
        <v>54866000</v>
      </c>
      <c r="C14" s="14" t="n">
        <v>52150000</v>
      </c>
      <c r="D14" s="14" t="n">
        <v>50000000</v>
      </c>
      <c r="E14" s="14" t="n">
        <v>43835000</v>
      </c>
    </row>
    <row r="15" customFormat="false" ht="15" hidden="false" customHeight="true" outlineLevel="0" collapsed="false">
      <c r="A15" s="19" t="n">
        <v>2036</v>
      </c>
      <c r="B15" s="14" t="n">
        <v>54866000</v>
      </c>
      <c r="C15" s="14" t="n">
        <v>52150000</v>
      </c>
      <c r="D15" s="14" t="n">
        <v>50000000</v>
      </c>
      <c r="E15" s="14" t="n">
        <v>43835000</v>
      </c>
    </row>
    <row r="16" customFormat="false" ht="15" hidden="false" customHeight="true" outlineLevel="0" collapsed="false">
      <c r="A16" s="19" t="n">
        <v>2037</v>
      </c>
      <c r="B16" s="14" t="n">
        <v>54866000</v>
      </c>
      <c r="C16" s="14" t="n">
        <v>52150000</v>
      </c>
      <c r="D16" s="14" t="n">
        <v>50000000</v>
      </c>
      <c r="E16" s="14" t="n">
        <v>43835000</v>
      </c>
    </row>
    <row r="17" customFormat="false" ht="15" hidden="false" customHeight="true" outlineLevel="0" collapsed="false">
      <c r="A17" s="19" t="n">
        <v>2038</v>
      </c>
      <c r="B17" s="14" t="n">
        <v>54866000</v>
      </c>
      <c r="C17" s="14" t="n">
        <v>52150000</v>
      </c>
      <c r="D17" s="14" t="n">
        <v>50000000</v>
      </c>
      <c r="E17" s="14" t="n">
        <v>43835000</v>
      </c>
    </row>
    <row r="18" customFormat="false" ht="15" hidden="false" customHeight="true" outlineLevel="0" collapsed="false">
      <c r="A18" s="19" t="n">
        <v>2039</v>
      </c>
      <c r="B18" s="14" t="n">
        <v>54866000</v>
      </c>
      <c r="C18" s="14" t="n">
        <v>52150000</v>
      </c>
      <c r="D18" s="14" t="n">
        <v>50000000</v>
      </c>
      <c r="E18" s="14" t="n">
        <v>43835000</v>
      </c>
    </row>
    <row r="19" customFormat="false" ht="15" hidden="false" customHeight="true" outlineLevel="0" collapsed="false">
      <c r="A19" s="19" t="n">
        <v>2040</v>
      </c>
      <c r="B19" s="14" t="n">
        <v>54866000</v>
      </c>
      <c r="C19" s="14" t="n">
        <v>52150000</v>
      </c>
      <c r="D19" s="14" t="n">
        <v>50000000</v>
      </c>
      <c r="E19" s="14" t="n">
        <v>43835000</v>
      </c>
    </row>
    <row r="20" customFormat="false" ht="15" hidden="false" customHeight="true" outlineLevel="0" collapsed="false">
      <c r="A20" s="19" t="n">
        <v>2041</v>
      </c>
      <c r="B20" s="14" t="n">
        <v>54866000</v>
      </c>
      <c r="C20" s="14" t="n">
        <v>52150000</v>
      </c>
      <c r="D20" s="14" t="n">
        <v>50000000</v>
      </c>
      <c r="E20" s="14" t="n">
        <v>43835000</v>
      </c>
    </row>
    <row r="21" customFormat="false" ht="15" hidden="false" customHeight="true" outlineLevel="0" collapsed="false">
      <c r="A21" s="19" t="n">
        <v>2042</v>
      </c>
      <c r="B21" s="14" t="n">
        <v>54866000</v>
      </c>
      <c r="C21" s="14" t="n">
        <v>52150000</v>
      </c>
      <c r="D21" s="14" t="n">
        <v>50000000</v>
      </c>
      <c r="E21" s="14" t="n">
        <v>43835000</v>
      </c>
    </row>
    <row r="22" customFormat="false" ht="15" hidden="false" customHeight="true" outlineLevel="0" collapsed="false">
      <c r="A22" s="19" t="n">
        <v>2043</v>
      </c>
      <c r="B22" s="14" t="n">
        <v>54866000</v>
      </c>
      <c r="C22" s="14" t="n">
        <v>52150000</v>
      </c>
      <c r="D22" s="14" t="n">
        <v>50000000</v>
      </c>
      <c r="E22" s="14" t="n">
        <v>43835000</v>
      </c>
    </row>
    <row r="23" customFormat="false" ht="15" hidden="false" customHeight="true" outlineLevel="0" collapsed="false">
      <c r="A23" s="19" t="n">
        <v>2044</v>
      </c>
      <c r="B23" s="14" t="n">
        <v>54866000</v>
      </c>
      <c r="C23" s="14" t="n">
        <v>52150000</v>
      </c>
      <c r="D23" s="14" t="n">
        <v>50000000</v>
      </c>
      <c r="E23" s="14" t="n">
        <v>43835000</v>
      </c>
    </row>
    <row r="24" customFormat="false" ht="15" hidden="false" customHeight="true" outlineLevel="0" collapsed="false">
      <c r="A24" s="20" t="s">
        <v>89</v>
      </c>
      <c r="B24" s="20"/>
      <c r="C24" s="20"/>
      <c r="D24" s="20"/>
      <c r="E24" s="20"/>
    </row>
    <row r="25" customFormat="false" ht="31.5" hidden="false" customHeight="true" outlineLevel="0" collapsed="false">
      <c r="A25" s="21" t="s">
        <v>90</v>
      </c>
      <c r="B25" s="21"/>
      <c r="C25" s="21"/>
      <c r="D25" s="21"/>
      <c r="E25" s="21"/>
    </row>
    <row r="26" customFormat="false" ht="31.5" hidden="false" customHeight="true" outlineLevel="0" collapsed="false">
      <c r="A26" s="21" t="s">
        <v>91</v>
      </c>
      <c r="B26" s="21"/>
      <c r="C26" s="21"/>
      <c r="D26" s="21"/>
      <c r="E26" s="21"/>
    </row>
    <row r="27" customFormat="false" ht="31.5" hidden="false" customHeight="true" outlineLevel="0" collapsed="false">
      <c r="A27" s="21" t="s">
        <v>92</v>
      </c>
      <c r="B27" s="21"/>
      <c r="C27" s="21"/>
      <c r="D27" s="21"/>
      <c r="E27" s="21"/>
    </row>
    <row r="28" customFormat="false" ht="31.5" hidden="false" customHeight="true" outlineLevel="0" collapsed="false">
      <c r="A28" s="21" t="s">
        <v>93</v>
      </c>
      <c r="B28" s="21"/>
      <c r="C28" s="21"/>
      <c r="D28" s="21"/>
      <c r="E28" s="21"/>
    </row>
    <row r="29" customFormat="false" ht="31.5" hidden="false" customHeight="true" outlineLevel="0" collapsed="false">
      <c r="A29" s="21" t="s">
        <v>94</v>
      </c>
      <c r="B29" s="21"/>
      <c r="C29" s="21"/>
      <c r="D29" s="21"/>
      <c r="E29" s="21"/>
    </row>
  </sheetData>
  <mergeCells count="8">
    <mergeCell ref="A1:G1"/>
    <mergeCell ref="A2:G2"/>
    <mergeCell ref="A24:E24"/>
    <mergeCell ref="A25:E25"/>
    <mergeCell ref="A26:E26"/>
    <mergeCell ref="A27:E27"/>
    <mergeCell ref="A28:E28"/>
    <mergeCell ref="A29:E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7" min="2" style="1" width="16"/>
    <col collapsed="false" customWidth="true" hidden="false" outlineLevel="0" max="8" min="8" style="1" width="50"/>
  </cols>
  <sheetData>
    <row r="1" customFormat="false" ht="17.25" hidden="false" customHeight="true" outlineLevel="0" collapsed="false">
      <c r="A1" s="9" t="s">
        <v>95</v>
      </c>
      <c r="B1" s="9"/>
      <c r="C1" s="9"/>
      <c r="D1" s="9"/>
      <c r="E1" s="9"/>
      <c r="F1" s="9"/>
      <c r="G1" s="9"/>
    </row>
    <row r="2" customFormat="false" ht="60" hidden="false" customHeight="true" outlineLevel="0" collapsed="false">
      <c r="A2" s="17" t="s">
        <v>96</v>
      </c>
      <c r="B2" s="17"/>
      <c r="C2" s="17"/>
      <c r="D2" s="17"/>
      <c r="E2" s="17"/>
      <c r="F2" s="17"/>
      <c r="G2" s="17"/>
    </row>
    <row r="4" customFormat="false" ht="15" hidden="false" customHeight="true" outlineLevel="0" collapsed="false">
      <c r="A4" s="10" t="s">
        <v>97</v>
      </c>
      <c r="B4" s="10"/>
      <c r="C4" s="10"/>
      <c r="D4" s="10"/>
      <c r="E4" s="10"/>
      <c r="F4" s="10"/>
      <c r="G4" s="10"/>
    </row>
    <row r="5" customFormat="false" ht="15" hidden="false" customHeight="true" outlineLevel="0" collapsed="false">
      <c r="A5" s="11" t="s">
        <v>98</v>
      </c>
      <c r="B5" s="22" t="n">
        <v>0.25</v>
      </c>
    </row>
    <row r="6" customFormat="false" ht="15" hidden="false" customHeight="true" outlineLevel="0" collapsed="false">
      <c r="A6" s="11" t="s">
        <v>99</v>
      </c>
      <c r="B6" s="16" t="n">
        <v>1</v>
      </c>
    </row>
    <row r="8" customFormat="false" ht="15" hidden="false" customHeight="true" outlineLevel="0" collapsed="false">
      <c r="A8" s="10" t="s">
        <v>100</v>
      </c>
      <c r="B8" s="10"/>
      <c r="C8" s="10"/>
      <c r="D8" s="10"/>
      <c r="E8" s="10"/>
      <c r="F8" s="10"/>
      <c r="G8" s="10"/>
    </row>
    <row r="9" customFormat="false" ht="31.5" hidden="false" customHeight="true" outlineLevel="0" collapsed="false">
      <c r="A9" s="18" t="s">
        <v>101</v>
      </c>
      <c r="B9" s="18" t="s">
        <v>102</v>
      </c>
      <c r="C9" s="18" t="s">
        <v>103</v>
      </c>
      <c r="D9" s="18" t="s">
        <v>104</v>
      </c>
    </row>
    <row r="10" customFormat="false" ht="15" hidden="false" customHeight="true" outlineLevel="0" collapsed="false">
      <c r="A10" s="23" t="s">
        <v>105</v>
      </c>
      <c r="B10" s="24" t="n">
        <f aca="false">Inputs_TMV!B5</f>
        <v>54866000</v>
      </c>
      <c r="C10" s="25" t="n">
        <v>0</v>
      </c>
      <c r="D10" s="26" t="n">
        <v>0</v>
      </c>
    </row>
    <row r="11" customFormat="false" ht="27.75" hidden="false" customHeight="true" outlineLevel="0" collapsed="false">
      <c r="A11" s="23" t="s">
        <v>106</v>
      </c>
      <c r="B11" s="24" t="n">
        <f aca="false">Inputs_TMV!C5</f>
        <v>52150000</v>
      </c>
      <c r="C11" s="25" t="n">
        <f aca="false">(B10-B11)*Assumptions!$B$4*Assumptions!$B$5</f>
        <v>43410.507</v>
      </c>
      <c r="D11" s="26" t="n">
        <f aca="false">C11*Attorney_Fees!$B$6*Attorney_Fees!$B$5</f>
        <v>10852.62675</v>
      </c>
    </row>
    <row r="12" customFormat="false" ht="15" hidden="false" customHeight="true" outlineLevel="0" collapsed="false">
      <c r="A12" s="23" t="s">
        <v>107</v>
      </c>
      <c r="B12" s="24" t="n">
        <f aca="false">Inputs_TMV!D5</f>
        <v>50000000</v>
      </c>
      <c r="C12" s="25" t="n">
        <f aca="false">(B10-B12)*Assumptions!$B$4*Assumptions!$B$5</f>
        <v>77774.4945</v>
      </c>
      <c r="D12" s="26" t="n">
        <f aca="false">C12*Attorney_Fees!$B$6*Attorney_Fees!$B$5</f>
        <v>19443.623625</v>
      </c>
    </row>
    <row r="13" customFormat="false" ht="15" hidden="false" customHeight="true" outlineLevel="0" collapsed="false">
      <c r="A13" s="23" t="s">
        <v>108</v>
      </c>
      <c r="B13" s="24" t="n">
        <f aca="false">Inputs_TMV!E5</f>
        <v>43835000</v>
      </c>
      <c r="C13" s="25" t="n">
        <f aca="false">(B10-B13)*Assumptions!$B$4*Assumptions!$B$5</f>
        <v>176311.23075</v>
      </c>
      <c r="D13" s="26" t="n">
        <f aca="false">C13*Attorney_Fees!$B$6*Attorney_Fees!$B$5</f>
        <v>44077.8076875</v>
      </c>
    </row>
    <row r="14" customFormat="false" ht="15" hidden="false" customHeight="true" outlineLevel="0" collapsed="false"/>
    <row r="15" customFormat="false" ht="15" hidden="false" customHeight="true" outlineLevel="0" collapsed="false">
      <c r="A15" s="10" t="s">
        <v>109</v>
      </c>
      <c r="B15" s="10"/>
      <c r="C15" s="10"/>
      <c r="D15" s="10"/>
      <c r="E15" s="10"/>
      <c r="F15" s="10"/>
      <c r="G15" s="10"/>
    </row>
    <row r="16" customFormat="false" ht="30" hidden="false" customHeight="true" outlineLevel="0" collapsed="false">
      <c r="A16" s="18" t="s">
        <v>110</v>
      </c>
      <c r="B16" s="18" t="s">
        <v>84</v>
      </c>
      <c r="C16" s="18" t="s">
        <v>111</v>
      </c>
      <c r="D16" s="18" t="s">
        <v>112</v>
      </c>
      <c r="E16" s="18" t="s">
        <v>113</v>
      </c>
      <c r="F16" s="18" t="s">
        <v>114</v>
      </c>
      <c r="G16" s="18" t="s">
        <v>115</v>
      </c>
    </row>
    <row r="17" customFormat="false" ht="31.5" hidden="false" customHeight="true" outlineLevel="0" collapsed="false">
      <c r="A17" s="27" t="s">
        <v>116</v>
      </c>
      <c r="B17" s="28" t="n">
        <v>2026</v>
      </c>
      <c r="C17" s="25" t="n">
        <f aca="false">IF(AND(ISNUMBER(B17),B17&gt;=2026,B17&lt;=2044),Attorney_Fees!$D$11,0)</f>
        <v>10852.62675</v>
      </c>
      <c r="D17" s="25" t="n">
        <f aca="false">IF(AND(ISNUMBER(B17),B17&gt;=2026,B17&lt;=2044),Attorney_Fees!$D$12,0)</f>
        <v>19443.623625</v>
      </c>
      <c r="E17" s="25" t="n">
        <f aca="false">IF(AND(ISNUMBER(B17),B17&gt;=2026,B17&lt;=2044),Attorney_Fees!$D$13,0)</f>
        <v>44077.8076875</v>
      </c>
      <c r="F17" s="29" t="n">
        <f aca="false">IF(ISNUMBER(B17),1/(1+Assumptions!$B$34)^(B17-2026),0)</f>
        <v>1</v>
      </c>
      <c r="G17" s="30" t="s">
        <v>117</v>
      </c>
    </row>
    <row r="18" customFormat="false" ht="15" hidden="false" customHeight="true" outlineLevel="0" collapsed="false">
      <c r="A18" s="27" t="s">
        <v>118</v>
      </c>
      <c r="B18" s="28" t="n">
        <v>2030</v>
      </c>
      <c r="C18" s="25" t="n">
        <f aca="false">IF(AND(ISNUMBER(B18),B18&gt;=2026,B18&lt;=2044),Attorney_Fees!$D$11,0)</f>
        <v>10852.62675</v>
      </c>
      <c r="D18" s="25" t="n">
        <f aca="false">IF(AND(ISNUMBER(B18),B18&gt;=2026,B18&lt;=2044),Attorney_Fees!$D$12,0)</f>
        <v>19443.623625</v>
      </c>
      <c r="E18" s="25" t="n">
        <f aca="false">IF(AND(ISNUMBER(B18),B18&gt;=2026,B18&lt;=2044),Attorney_Fees!$D$13,0)</f>
        <v>44077.8076875</v>
      </c>
      <c r="F18" s="29" t="n">
        <f aca="false">IF(ISNUMBER(B18),1/(1+Assumptions!$B$34)^(B18-2026),0)</f>
        <v>0.822702474791882</v>
      </c>
      <c r="G18" s="30" t="s">
        <v>119</v>
      </c>
    </row>
    <row r="19" customFormat="false" ht="27.75" hidden="false" customHeight="true" outlineLevel="0" collapsed="false">
      <c r="A19" s="27" t="s">
        <v>120</v>
      </c>
      <c r="B19" s="28" t="n">
        <v>2036</v>
      </c>
      <c r="C19" s="25" t="n">
        <f aca="false">IF(AND(ISNUMBER(B19),B19&gt;=2026,B19&lt;=2044),Attorney_Fees!$D$11,0)</f>
        <v>10852.62675</v>
      </c>
      <c r="D19" s="25" t="n">
        <f aca="false">IF(AND(ISNUMBER(B19),B19&gt;=2026,B19&lt;=2044),Attorney_Fees!$D$12,0)</f>
        <v>19443.623625</v>
      </c>
      <c r="E19" s="25" t="n">
        <f aca="false">IF(AND(ISNUMBER(B19),B19&gt;=2026,B19&lt;=2044),Attorney_Fees!$D$13,0)</f>
        <v>44077.8076875</v>
      </c>
      <c r="F19" s="29" t="n">
        <f aca="false">IF(ISNUMBER(B19),1/(1+Assumptions!$B$34)^(B19-2026),0)</f>
        <v>0.613913253540759</v>
      </c>
      <c r="G19" s="30" t="s">
        <v>121</v>
      </c>
    </row>
    <row r="20" customFormat="false" ht="15" hidden="false" customHeight="true" outlineLevel="0" collapsed="false">
      <c r="A20" s="31" t="s">
        <v>122</v>
      </c>
      <c r="B20" s="32"/>
      <c r="C20" s="25" t="n">
        <f aca="false">IF(AND(ISNUMBER(B20),B20&gt;=2026,B20&lt;=2044),Attorney_Fees!$D$11,0)</f>
        <v>0</v>
      </c>
      <c r="D20" s="25" t="n">
        <f aca="false">IF(AND(ISNUMBER(B20),B20&gt;=2026,B20&lt;=2044),Attorney_Fees!$D$12,0)</f>
        <v>0</v>
      </c>
      <c r="E20" s="25" t="n">
        <f aca="false">IF(AND(ISNUMBER(B20),B20&gt;=2026,B20&lt;=2044),Attorney_Fees!$D$13,0)</f>
        <v>0</v>
      </c>
      <c r="F20" s="29" t="n">
        <f aca="false">IF(ISNUMBER(B20),1/(1+Assumptions!$B$34)^(B20-2026),0)</f>
        <v>0</v>
      </c>
      <c r="G20" s="30" t="s">
        <v>123</v>
      </c>
    </row>
    <row r="21" customFormat="false" ht="15" hidden="false" customHeight="true" outlineLevel="0" collapsed="false">
      <c r="A21" s="31" t="s">
        <v>122</v>
      </c>
      <c r="B21" s="32"/>
      <c r="C21" s="25" t="n">
        <f aca="false">IF(AND(ISNUMBER(B21),B21&gt;=2026,B21&lt;=2044),Attorney_Fees!$D$11,0)</f>
        <v>0</v>
      </c>
      <c r="D21" s="25" t="n">
        <f aca="false">IF(AND(ISNUMBER(B21),B21&gt;=2026,B21&lt;=2044),Attorney_Fees!$D$12,0)</f>
        <v>0</v>
      </c>
      <c r="E21" s="25" t="n">
        <f aca="false">IF(AND(ISNUMBER(B21),B21&gt;=2026,B21&lt;=2044),Attorney_Fees!$D$13,0)</f>
        <v>0</v>
      </c>
      <c r="F21" s="29" t="n">
        <f aca="false">IF(ISNUMBER(B21),1/(1+Assumptions!$B$34)^(B21-2026),0)</f>
        <v>0</v>
      </c>
      <c r="G21" s="30"/>
    </row>
    <row r="22" customFormat="false" ht="15" hidden="false" customHeight="true" outlineLevel="0" collapsed="false"/>
    <row r="23" customFormat="false" ht="15" hidden="false" customHeight="true" outlineLevel="0" collapsed="false">
      <c r="A23" s="10" t="s">
        <v>124</v>
      </c>
      <c r="B23" s="10"/>
      <c r="C23" s="10"/>
      <c r="D23" s="10"/>
      <c r="E23" s="10"/>
      <c r="F23" s="10"/>
      <c r="G23" s="10"/>
    </row>
    <row r="24" customFormat="false" ht="15" hidden="false" customHeight="true" outlineLevel="0" collapsed="false">
      <c r="A24" s="33"/>
      <c r="B24" s="18" t="s">
        <v>125</v>
      </c>
      <c r="C24" s="18" t="s">
        <v>126</v>
      </c>
      <c r="D24" s="18" t="s">
        <v>127</v>
      </c>
      <c r="E24" s="18" t="s">
        <v>128</v>
      </c>
    </row>
    <row r="25" customFormat="false" ht="27.75" hidden="false" customHeight="true" outlineLevel="0" collapsed="false">
      <c r="A25" s="34" t="s">
        <v>129</v>
      </c>
      <c r="B25" s="26" t="n">
        <v>0</v>
      </c>
      <c r="C25" s="26" t="n">
        <f aca="false">SUM(C17:C21)</f>
        <v>32557.88025</v>
      </c>
      <c r="D25" s="26" t="n">
        <f aca="false">SUM(D17:D21)</f>
        <v>58330.870875</v>
      </c>
      <c r="E25" s="26" t="n">
        <f aca="false">SUM(E17:E21)</f>
        <v>132233.4230625</v>
      </c>
    </row>
    <row r="26" customFormat="false" ht="27.75" hidden="false" customHeight="true" outlineLevel="0" collapsed="false">
      <c r="A26" s="34" t="s">
        <v>130</v>
      </c>
      <c r="B26" s="26" t="n">
        <v>0</v>
      </c>
      <c r="C26" s="26" t="n">
        <f aca="false">SUMPRODUCT(C17:C21,F17:F21)</f>
        <v>26443.6810327736</v>
      </c>
      <c r="D26" s="26" t="n">
        <f aca="false">SUMPRODUCT(D17:D21,F17:F21)</f>
        <v>47376.6391404551</v>
      </c>
      <c r="E26" s="26" t="n">
        <f aca="false">SUMPRODUCT(E17:E21,F17:F21)</f>
        <v>107400.679481784</v>
      </c>
    </row>
    <row r="27" customFormat="false" ht="27.75" hidden="false" customHeight="true" outlineLevel="0" collapsed="false"/>
    <row r="28" customFormat="false" ht="27.75" hidden="false" customHeight="true" outlineLevel="0" collapsed="false">
      <c r="A28" s="10" t="s">
        <v>131</v>
      </c>
      <c r="B28" s="10"/>
      <c r="C28" s="10"/>
      <c r="D28" s="10"/>
      <c r="E28" s="10"/>
      <c r="F28" s="10"/>
      <c r="G28" s="10"/>
    </row>
    <row r="29" customFormat="false" ht="15" hidden="false" customHeight="true" outlineLevel="0" collapsed="false">
      <c r="A29" s="23" t="s">
        <v>132</v>
      </c>
      <c r="B29" s="14" t="n">
        <v>373694</v>
      </c>
      <c r="C29" s="17" t="s">
        <v>133</v>
      </c>
      <c r="D29" s="17"/>
      <c r="E29" s="17"/>
      <c r="F29" s="17"/>
      <c r="G29" s="17"/>
    </row>
    <row r="30" customFormat="false" ht="15" hidden="false" customHeight="true" outlineLevel="0" collapsed="false">
      <c r="A30" s="23" t="s">
        <v>134</v>
      </c>
      <c r="B30" s="35" t="n">
        <f aca="false">Attorney_Fees!$D$25</f>
        <v>58330.870875</v>
      </c>
      <c r="C30" s="17" t="s">
        <v>135</v>
      </c>
      <c r="D30" s="17"/>
      <c r="E30" s="17"/>
      <c r="F30" s="17"/>
      <c r="G30" s="17"/>
    </row>
    <row r="31" customFormat="false" ht="15" hidden="false" customHeight="true" outlineLevel="0" collapsed="false">
      <c r="A31" s="34" t="s">
        <v>136</v>
      </c>
      <c r="B31" s="36" t="n">
        <f aca="false">Attorney_Fees!$B$29-Attorney_Fees!$D$25</f>
        <v>315363.129125</v>
      </c>
      <c r="C31" s="37" t="n">
        <f aca="false">Attorney_Fees!$B$29/Attorney_Fees!$D$25</f>
        <v>6.40645329641669</v>
      </c>
      <c r="D31" s="17" t="s">
        <v>137</v>
      </c>
      <c r="E31" s="17"/>
      <c r="F31" s="17"/>
      <c r="G31" s="17"/>
    </row>
    <row r="33" customFormat="false" ht="75" hidden="false" customHeight="true" outlineLevel="0" collapsed="false">
      <c r="A33" s="38" t="s">
        <v>138</v>
      </c>
      <c r="B33" s="38"/>
      <c r="C33" s="38"/>
      <c r="D33" s="38"/>
      <c r="E33" s="38"/>
      <c r="F33" s="38"/>
      <c r="G33" s="38"/>
    </row>
  </sheetData>
  <mergeCells count="11">
    <mergeCell ref="A1:G1"/>
    <mergeCell ref="A2:G2"/>
    <mergeCell ref="A4:G4"/>
    <mergeCell ref="A8:G8"/>
    <mergeCell ref="A15:G15"/>
    <mergeCell ref="A23:G23"/>
    <mergeCell ref="A28:G28"/>
    <mergeCell ref="C29:G29"/>
    <mergeCell ref="C30:G30"/>
    <mergeCell ref="D31:G31"/>
    <mergeCell ref="A33:G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14" min="2" style="1" width="16"/>
  </cols>
  <sheetData>
    <row r="1" customFormat="false" ht="17.25" hidden="false" customHeight="true" outlineLevel="0" collapsed="false">
      <c r="A1" s="9" t="s">
        <v>139</v>
      </c>
      <c r="B1" s="9"/>
      <c r="C1" s="9"/>
      <c r="D1" s="9"/>
      <c r="E1" s="9"/>
      <c r="F1" s="9"/>
      <c r="G1" s="9"/>
      <c r="H1" s="9"/>
      <c r="I1" s="9"/>
      <c r="J1" s="9"/>
      <c r="K1" s="9"/>
      <c r="L1" s="9"/>
      <c r="M1" s="9"/>
    </row>
    <row r="2" customFormat="false" ht="15" hidden="false" customHeight="true" outlineLevel="0" collapsed="false">
      <c r="A2" s="17" t="s">
        <v>140</v>
      </c>
      <c r="B2" s="17"/>
      <c r="C2" s="17"/>
      <c r="D2" s="17"/>
      <c r="E2" s="17"/>
      <c r="F2" s="17"/>
      <c r="G2" s="17"/>
      <c r="H2" s="17"/>
      <c r="I2" s="17"/>
      <c r="J2" s="17"/>
      <c r="K2" s="17"/>
      <c r="L2" s="17"/>
      <c r="M2" s="17"/>
    </row>
    <row r="4" customFormat="false" ht="30" hidden="false" customHeight="true" outlineLevel="0" collapsed="false">
      <c r="A4" s="18" t="s">
        <v>84</v>
      </c>
      <c r="B4" s="18" t="s">
        <v>141</v>
      </c>
      <c r="C4" s="18" t="s">
        <v>142</v>
      </c>
      <c r="D4" s="18" t="s">
        <v>143</v>
      </c>
      <c r="E4" s="18" t="s">
        <v>144</v>
      </c>
      <c r="F4" s="18" t="s">
        <v>145</v>
      </c>
      <c r="G4" s="18" t="s">
        <v>146</v>
      </c>
      <c r="H4" s="18" t="s">
        <v>147</v>
      </c>
      <c r="I4" s="18" t="s">
        <v>148</v>
      </c>
      <c r="J4" s="18" t="s">
        <v>149</v>
      </c>
      <c r="K4" s="18" t="s">
        <v>150</v>
      </c>
      <c r="L4" s="18" t="s">
        <v>151</v>
      </c>
      <c r="M4" s="18" t="s">
        <v>152</v>
      </c>
      <c r="N4" s="18" t="s">
        <v>153</v>
      </c>
    </row>
    <row r="5" customFormat="false" ht="24" hidden="false" customHeight="true" outlineLevel="0" collapsed="false">
      <c r="A5" s="39"/>
      <c r="B5" s="39" t="s">
        <v>154</v>
      </c>
      <c r="C5" s="39" t="s">
        <v>155</v>
      </c>
      <c r="D5" s="39" t="s">
        <v>156</v>
      </c>
      <c r="E5" s="39" t="s">
        <v>157</v>
      </c>
      <c r="F5" s="39" t="s">
        <v>158</v>
      </c>
      <c r="G5" s="39" t="s">
        <v>159</v>
      </c>
      <c r="H5" s="39" t="s">
        <v>160</v>
      </c>
      <c r="I5" s="39" t="s">
        <v>161</v>
      </c>
      <c r="J5" s="39"/>
      <c r="K5" s="39" t="s">
        <v>162</v>
      </c>
      <c r="L5" s="39" t="s">
        <v>163</v>
      </c>
      <c r="M5" s="39" t="s">
        <v>164</v>
      </c>
      <c r="N5" s="39" t="s">
        <v>165</v>
      </c>
    </row>
    <row r="6" customFormat="false" ht="15" hidden="false" customHeight="true" outlineLevel="0" collapsed="false">
      <c r="A6" s="40" t="n">
        <f aca="false">Inputs_TMV!$A$5</f>
        <v>2026</v>
      </c>
      <c r="B6" s="41" t="n">
        <f aca="false">Inputs_TMV!$B$5</f>
        <v>54866000</v>
      </c>
      <c r="C6" s="42" t="n">
        <f aca="false">B6*Assumptions!$B$4</f>
        <v>685825</v>
      </c>
      <c r="D6" s="42" t="n">
        <f aca="false">MAX(C6-Assumptions!$B$9,0)</f>
        <v>648646</v>
      </c>
      <c r="E6" s="42" t="n">
        <f aca="false">D6*Assumptions!$B$5</f>
        <v>829397.69436</v>
      </c>
      <c r="F6" s="42" t="n">
        <f aca="false">E6*Assumptions!$B$8</f>
        <v>2985.831699696</v>
      </c>
      <c r="G6" s="42" t="n">
        <f aca="false">(E6-F6)*Assumptions!$B$7</f>
        <v>82641.1862660304</v>
      </c>
      <c r="H6" s="42" t="n">
        <f aca="false">(E6-F6-G6)*(1-Assumptions!$B$6)</f>
        <v>0</v>
      </c>
      <c r="I6" s="43" t="n">
        <f aca="false">(E6-F6-G6)*Assumptions!$B$6</f>
        <v>743770.676394274</v>
      </c>
      <c r="J6" s="42" t="n">
        <f aca="false">Assumptions!$B$15</f>
        <v>7269118.57</v>
      </c>
      <c r="K6" s="42" t="n">
        <f aca="false">J6*Assumptions!$B$13</f>
        <v>334379.45422</v>
      </c>
      <c r="L6" s="42" t="n">
        <f aca="false">MAX(0,MIN(I6-K6,J6))</f>
        <v>409391.222174274</v>
      </c>
      <c r="M6" s="42" t="n">
        <f aca="false">MAX(0,J6+K6-I6)</f>
        <v>6859727.34782573</v>
      </c>
      <c r="N6" s="42" t="n">
        <f aca="false">C6*Assumptions!$B$5</f>
        <v>876936.9945</v>
      </c>
    </row>
    <row r="7" customFormat="false" ht="15" hidden="false" customHeight="true" outlineLevel="0" collapsed="false">
      <c r="A7" s="40" t="n">
        <f aca="false">Inputs_TMV!$A$6</f>
        <v>2027</v>
      </c>
      <c r="B7" s="41" t="n">
        <f aca="false">Inputs_TMV!$B$6</f>
        <v>54866000</v>
      </c>
      <c r="C7" s="42" t="n">
        <f aca="false">B7*Assumptions!$B$4</f>
        <v>685825</v>
      </c>
      <c r="D7" s="42" t="n">
        <f aca="false">MAX(C7-Assumptions!$B$9,0)</f>
        <v>648646</v>
      </c>
      <c r="E7" s="42" t="n">
        <f aca="false">D7*Assumptions!$B$5</f>
        <v>829397.69436</v>
      </c>
      <c r="F7" s="42" t="n">
        <f aca="false">E7*Assumptions!$B$8</f>
        <v>2985.831699696</v>
      </c>
      <c r="G7" s="42" t="n">
        <f aca="false">(E7-F7)*Assumptions!$B$7</f>
        <v>82641.1862660304</v>
      </c>
      <c r="H7" s="42" t="n">
        <f aca="false">(E7-F7-G7)*(1-Assumptions!$B$6)</f>
        <v>0</v>
      </c>
      <c r="I7" s="43" t="n">
        <f aca="false">(E7-F7-G7)*Assumptions!$B$6</f>
        <v>743770.676394274</v>
      </c>
      <c r="J7" s="42" t="n">
        <f aca="false">M6</f>
        <v>6859727.34782573</v>
      </c>
      <c r="K7" s="42" t="n">
        <f aca="false">J7*Assumptions!$B$13</f>
        <v>315547.457999983</v>
      </c>
      <c r="L7" s="42" t="n">
        <f aca="false">MAX(0,MIN(I7-K7,J7))</f>
        <v>428223.21839429</v>
      </c>
      <c r="M7" s="42" t="n">
        <f aca="false">MAX(0,J7+K7-I7)</f>
        <v>6431504.12943144</v>
      </c>
      <c r="N7" s="42" t="n">
        <f aca="false">C7*Assumptions!$B$5</f>
        <v>876936.9945</v>
      </c>
    </row>
    <row r="8" customFormat="false" ht="15" hidden="false" customHeight="true" outlineLevel="0" collapsed="false">
      <c r="A8" s="40" t="n">
        <f aca="false">Inputs_TMV!$A$7</f>
        <v>2028</v>
      </c>
      <c r="B8" s="41" t="n">
        <f aca="false">Inputs_TMV!$B$7</f>
        <v>54866000</v>
      </c>
      <c r="C8" s="42" t="n">
        <f aca="false">B8*Assumptions!$B$4</f>
        <v>685825</v>
      </c>
      <c r="D8" s="42" t="n">
        <f aca="false">MAX(C8-Assumptions!$B$9,0)</f>
        <v>648646</v>
      </c>
      <c r="E8" s="42" t="n">
        <f aca="false">D8*Assumptions!$B$5</f>
        <v>829397.69436</v>
      </c>
      <c r="F8" s="42" t="n">
        <f aca="false">E8*Assumptions!$B$8</f>
        <v>2985.831699696</v>
      </c>
      <c r="G8" s="42" t="n">
        <f aca="false">(E8-F8)*Assumptions!$B$7</f>
        <v>82641.1862660304</v>
      </c>
      <c r="H8" s="42" t="n">
        <f aca="false">(E8-F8-G8)*(1-Assumptions!$B$6)</f>
        <v>0</v>
      </c>
      <c r="I8" s="43" t="n">
        <f aca="false">(E8-F8-G8)*Assumptions!$B$6</f>
        <v>743770.676394274</v>
      </c>
      <c r="J8" s="42" t="n">
        <f aca="false">M7</f>
        <v>6431504.12943144</v>
      </c>
      <c r="K8" s="42" t="n">
        <f aca="false">J8*Assumptions!$B$13</f>
        <v>295849.189953846</v>
      </c>
      <c r="L8" s="42" t="n">
        <f aca="false">MAX(0,MIN(I8-K8,J8))</f>
        <v>447921.486440427</v>
      </c>
      <c r="M8" s="42" t="n">
        <f aca="false">MAX(0,J8+K8-I8)</f>
        <v>5983582.64299101</v>
      </c>
      <c r="N8" s="42" t="n">
        <f aca="false">C8*Assumptions!$B$5</f>
        <v>876936.9945</v>
      </c>
    </row>
    <row r="9" customFormat="false" ht="15" hidden="false" customHeight="true" outlineLevel="0" collapsed="false">
      <c r="A9" s="40" t="n">
        <f aca="false">Inputs_TMV!$A$8</f>
        <v>2029</v>
      </c>
      <c r="B9" s="41" t="n">
        <f aca="false">Inputs_TMV!$B$8</f>
        <v>54866000</v>
      </c>
      <c r="C9" s="42" t="n">
        <f aca="false">B9*Assumptions!$B$4</f>
        <v>685825</v>
      </c>
      <c r="D9" s="42" t="n">
        <f aca="false">MAX(C9-Assumptions!$B$9,0)</f>
        <v>648646</v>
      </c>
      <c r="E9" s="42" t="n">
        <f aca="false">D9*Assumptions!$B$5</f>
        <v>829397.69436</v>
      </c>
      <c r="F9" s="42" t="n">
        <f aca="false">E9*Assumptions!$B$8</f>
        <v>2985.831699696</v>
      </c>
      <c r="G9" s="42" t="n">
        <f aca="false">(E9-F9)*Assumptions!$B$7</f>
        <v>82641.1862660304</v>
      </c>
      <c r="H9" s="42" t="n">
        <f aca="false">(E9-F9-G9)*(1-Assumptions!$B$6)</f>
        <v>0</v>
      </c>
      <c r="I9" s="43" t="n">
        <f aca="false">(E9-F9-G9)*Assumptions!$B$6</f>
        <v>743770.676394274</v>
      </c>
      <c r="J9" s="42" t="n">
        <f aca="false">M8</f>
        <v>5983582.64299101</v>
      </c>
      <c r="K9" s="42" t="n">
        <f aca="false">J9*Assumptions!$B$13</f>
        <v>275244.801577586</v>
      </c>
      <c r="L9" s="42" t="n">
        <f aca="false">MAX(0,MIN(I9-K9,J9))</f>
        <v>468525.874816687</v>
      </c>
      <c r="M9" s="42" t="n">
        <f aca="false">MAX(0,J9+K9-I9)</f>
        <v>5515056.76817432</v>
      </c>
      <c r="N9" s="42" t="n">
        <f aca="false">C9*Assumptions!$B$5</f>
        <v>876936.9945</v>
      </c>
    </row>
    <row r="10" customFormat="false" ht="15" hidden="false" customHeight="true" outlineLevel="0" collapsed="false">
      <c r="A10" s="40" t="n">
        <f aca="false">Inputs_TMV!$A$9</f>
        <v>2030</v>
      </c>
      <c r="B10" s="41" t="n">
        <f aca="false">Inputs_TMV!$B$9</f>
        <v>54866000</v>
      </c>
      <c r="C10" s="42" t="n">
        <f aca="false">B10*Assumptions!$B$4</f>
        <v>685825</v>
      </c>
      <c r="D10" s="42" t="n">
        <f aca="false">MAX(C10-Assumptions!$B$9,0)</f>
        <v>648646</v>
      </c>
      <c r="E10" s="42" t="n">
        <f aca="false">D10*Assumptions!$B$5</f>
        <v>829397.69436</v>
      </c>
      <c r="F10" s="42" t="n">
        <f aca="false">E10*Assumptions!$B$8</f>
        <v>2985.831699696</v>
      </c>
      <c r="G10" s="42" t="n">
        <f aca="false">(E10-F10)*Assumptions!$B$7</f>
        <v>82641.1862660304</v>
      </c>
      <c r="H10" s="42" t="n">
        <f aca="false">(E10-F10-G10)*(1-Assumptions!$B$6)</f>
        <v>0</v>
      </c>
      <c r="I10" s="43" t="n">
        <f aca="false">(E10-F10-G10)*Assumptions!$B$6</f>
        <v>743770.676394274</v>
      </c>
      <c r="J10" s="42" t="n">
        <f aca="false">M9</f>
        <v>5515056.76817432</v>
      </c>
      <c r="K10" s="42" t="n">
        <f aca="false">J10*Assumptions!$B$13</f>
        <v>253692.611336019</v>
      </c>
      <c r="L10" s="42" t="n">
        <f aca="false">MAX(0,MIN(I10-K10,J10))</f>
        <v>490078.065058255</v>
      </c>
      <c r="M10" s="42" t="n">
        <f aca="false">MAX(0,J10+K10-I10)</f>
        <v>5024978.70311607</v>
      </c>
      <c r="N10" s="42" t="n">
        <f aca="false">C10*Assumptions!$B$5</f>
        <v>876936.9945</v>
      </c>
    </row>
    <row r="11" customFormat="false" ht="15" hidden="false" customHeight="true" outlineLevel="0" collapsed="false">
      <c r="A11" s="40" t="n">
        <f aca="false">Inputs_TMV!$A$10</f>
        <v>2031</v>
      </c>
      <c r="B11" s="41" t="n">
        <f aca="false">Inputs_TMV!$B$10</f>
        <v>54866000</v>
      </c>
      <c r="C11" s="42" t="n">
        <f aca="false">B11*Assumptions!$B$4</f>
        <v>685825</v>
      </c>
      <c r="D11" s="42" t="n">
        <f aca="false">MAX(C11-Assumptions!$B$9,0)</f>
        <v>648646</v>
      </c>
      <c r="E11" s="42" t="n">
        <f aca="false">D11*Assumptions!$B$5</f>
        <v>829397.69436</v>
      </c>
      <c r="F11" s="42" t="n">
        <f aca="false">E11*Assumptions!$B$8</f>
        <v>2985.831699696</v>
      </c>
      <c r="G11" s="42" t="n">
        <f aca="false">(E11-F11)*Assumptions!$B$7</f>
        <v>82641.1862660304</v>
      </c>
      <c r="H11" s="42" t="n">
        <f aca="false">(E11-F11-G11)*(1-Assumptions!$B$6)</f>
        <v>0</v>
      </c>
      <c r="I11" s="43" t="n">
        <f aca="false">(E11-F11-G11)*Assumptions!$B$6</f>
        <v>743770.676394274</v>
      </c>
      <c r="J11" s="42" t="n">
        <f aca="false">M10</f>
        <v>5024978.70311607</v>
      </c>
      <c r="K11" s="42" t="n">
        <f aca="false">J11*Assumptions!$B$13</f>
        <v>231149.020343339</v>
      </c>
      <c r="L11" s="42" t="n">
        <f aca="false">MAX(0,MIN(I11-K11,J11))</f>
        <v>512621.656050934</v>
      </c>
      <c r="M11" s="42" t="n">
        <f aca="false">MAX(0,J11+K11-I11)</f>
        <v>4512357.04706513</v>
      </c>
      <c r="N11" s="42" t="n">
        <f aca="false">C11*Assumptions!$B$5</f>
        <v>876936.9945</v>
      </c>
    </row>
    <row r="12" customFormat="false" ht="15" hidden="false" customHeight="true" outlineLevel="0" collapsed="false">
      <c r="A12" s="40" t="n">
        <f aca="false">Inputs_TMV!$A$11</f>
        <v>2032</v>
      </c>
      <c r="B12" s="41" t="n">
        <f aca="false">Inputs_TMV!$B$11</f>
        <v>54866000</v>
      </c>
      <c r="C12" s="42" t="n">
        <f aca="false">B12*Assumptions!$B$4</f>
        <v>685825</v>
      </c>
      <c r="D12" s="42" t="n">
        <f aca="false">MAX(C12-Assumptions!$B$9,0)</f>
        <v>648646</v>
      </c>
      <c r="E12" s="42" t="n">
        <f aca="false">D12*Assumptions!$B$5</f>
        <v>829397.69436</v>
      </c>
      <c r="F12" s="42" t="n">
        <f aca="false">E12*Assumptions!$B$8</f>
        <v>2985.831699696</v>
      </c>
      <c r="G12" s="42" t="n">
        <f aca="false">(E12-F12)*Assumptions!$B$7</f>
        <v>82641.1862660304</v>
      </c>
      <c r="H12" s="42" t="n">
        <f aca="false">(E12-F12-G12)*(1-Assumptions!$B$6)</f>
        <v>0</v>
      </c>
      <c r="I12" s="43" t="n">
        <f aca="false">(E12-F12-G12)*Assumptions!$B$6</f>
        <v>743770.676394274</v>
      </c>
      <c r="J12" s="42" t="n">
        <f aca="false">M11</f>
        <v>4512357.04706513</v>
      </c>
      <c r="K12" s="42" t="n">
        <f aca="false">J12*Assumptions!$B$13</f>
        <v>207568.424164996</v>
      </c>
      <c r="L12" s="42" t="n">
        <f aca="false">MAX(0,MIN(I12-K12,J12))</f>
        <v>536202.252229277</v>
      </c>
      <c r="M12" s="42" t="n">
        <f aca="false">MAX(0,J12+K12-I12)</f>
        <v>3976154.79483586</v>
      </c>
      <c r="N12" s="42" t="n">
        <f aca="false">C12*Assumptions!$B$5</f>
        <v>876936.9945</v>
      </c>
    </row>
    <row r="13" customFormat="false" ht="15" hidden="false" customHeight="true" outlineLevel="0" collapsed="false">
      <c r="A13" s="40" t="n">
        <f aca="false">Inputs_TMV!$A$12</f>
        <v>2033</v>
      </c>
      <c r="B13" s="41" t="n">
        <f aca="false">Inputs_TMV!$B$12</f>
        <v>54866000</v>
      </c>
      <c r="C13" s="42" t="n">
        <f aca="false">B13*Assumptions!$B$4</f>
        <v>685825</v>
      </c>
      <c r="D13" s="42" t="n">
        <f aca="false">MAX(C13-Assumptions!$B$9,0)</f>
        <v>648646</v>
      </c>
      <c r="E13" s="42" t="n">
        <f aca="false">D13*Assumptions!$B$5</f>
        <v>829397.69436</v>
      </c>
      <c r="F13" s="42" t="n">
        <f aca="false">E13*Assumptions!$B$8</f>
        <v>2985.831699696</v>
      </c>
      <c r="G13" s="42" t="n">
        <f aca="false">(E13-F13)*Assumptions!$B$7</f>
        <v>82641.1862660304</v>
      </c>
      <c r="H13" s="42" t="n">
        <f aca="false">(E13-F13-G13)*(1-Assumptions!$B$6)</f>
        <v>0</v>
      </c>
      <c r="I13" s="43" t="n">
        <f aca="false">(E13-F13-G13)*Assumptions!$B$6</f>
        <v>743770.676394274</v>
      </c>
      <c r="J13" s="42" t="n">
        <f aca="false">M12</f>
        <v>3976154.79483586</v>
      </c>
      <c r="K13" s="42" t="n">
        <f aca="false">J13*Assumptions!$B$13</f>
        <v>182903.120562449</v>
      </c>
      <c r="L13" s="42" t="n">
        <f aca="false">MAX(0,MIN(I13-K13,J13))</f>
        <v>560867.555831824</v>
      </c>
      <c r="M13" s="42" t="n">
        <f aca="false">MAX(0,J13+K13-I13)</f>
        <v>3415287.23900403</v>
      </c>
      <c r="N13" s="42" t="n">
        <f aca="false">C13*Assumptions!$B$5</f>
        <v>876936.9945</v>
      </c>
    </row>
    <row r="14" customFormat="false" ht="15" hidden="false" customHeight="true" outlineLevel="0" collapsed="false">
      <c r="A14" s="40" t="n">
        <f aca="false">Inputs_TMV!$A$13</f>
        <v>2034</v>
      </c>
      <c r="B14" s="41" t="n">
        <f aca="false">Inputs_TMV!$B$13</f>
        <v>54866000</v>
      </c>
      <c r="C14" s="42" t="n">
        <f aca="false">B14*Assumptions!$B$4</f>
        <v>685825</v>
      </c>
      <c r="D14" s="42" t="n">
        <f aca="false">MAX(C14-Assumptions!$B$9,0)</f>
        <v>648646</v>
      </c>
      <c r="E14" s="42" t="n">
        <f aca="false">D14*Assumptions!$B$5</f>
        <v>829397.69436</v>
      </c>
      <c r="F14" s="42" t="n">
        <f aca="false">E14*Assumptions!$B$8</f>
        <v>2985.831699696</v>
      </c>
      <c r="G14" s="42" t="n">
        <f aca="false">(E14-F14)*Assumptions!$B$7</f>
        <v>82641.1862660304</v>
      </c>
      <c r="H14" s="42" t="n">
        <f aca="false">(E14-F14-G14)*(1-Assumptions!$B$6)</f>
        <v>0</v>
      </c>
      <c r="I14" s="43" t="n">
        <f aca="false">(E14-F14-G14)*Assumptions!$B$6</f>
        <v>743770.676394274</v>
      </c>
      <c r="J14" s="42" t="n">
        <f aca="false">M13</f>
        <v>3415287.23900403</v>
      </c>
      <c r="K14" s="42" t="n">
        <f aca="false">J14*Assumptions!$B$13</f>
        <v>157103.212994185</v>
      </c>
      <c r="L14" s="42" t="n">
        <f aca="false">MAX(0,MIN(I14-K14,J14))</f>
        <v>586667.463400088</v>
      </c>
      <c r="M14" s="42" t="n">
        <f aca="false">MAX(0,J14+K14-I14)</f>
        <v>2828619.77560394</v>
      </c>
      <c r="N14" s="42" t="n">
        <f aca="false">C14*Assumptions!$B$5</f>
        <v>876936.9945</v>
      </c>
    </row>
    <row r="15" customFormat="false" ht="15" hidden="false" customHeight="true" outlineLevel="0" collapsed="false">
      <c r="A15" s="40" t="n">
        <f aca="false">Inputs_TMV!$A$14</f>
        <v>2035</v>
      </c>
      <c r="B15" s="41" t="n">
        <f aca="false">Inputs_TMV!$B$14</f>
        <v>54866000</v>
      </c>
      <c r="C15" s="42" t="n">
        <f aca="false">B15*Assumptions!$B$4</f>
        <v>685825</v>
      </c>
      <c r="D15" s="42" t="n">
        <f aca="false">MAX(C15-Assumptions!$B$9,0)</f>
        <v>648646</v>
      </c>
      <c r="E15" s="42" t="n">
        <f aca="false">D15*Assumptions!$B$5</f>
        <v>829397.69436</v>
      </c>
      <c r="F15" s="42" t="n">
        <f aca="false">E15*Assumptions!$B$8</f>
        <v>2985.831699696</v>
      </c>
      <c r="G15" s="42" t="n">
        <f aca="false">(E15-F15)*Assumptions!$B$7</f>
        <v>82641.1862660304</v>
      </c>
      <c r="H15" s="42" t="n">
        <f aca="false">(E15-F15-G15)*(1-Assumptions!$B$6)</f>
        <v>0</v>
      </c>
      <c r="I15" s="43" t="n">
        <f aca="false">(E15-F15-G15)*Assumptions!$B$6</f>
        <v>743770.676394274</v>
      </c>
      <c r="J15" s="42" t="n">
        <f aca="false">M14</f>
        <v>2828619.77560394</v>
      </c>
      <c r="K15" s="42" t="n">
        <f aca="false">J15*Assumptions!$B$13</f>
        <v>130116.509677781</v>
      </c>
      <c r="L15" s="42" t="n">
        <f aca="false">MAX(0,MIN(I15-K15,J15))</f>
        <v>613654.166716492</v>
      </c>
      <c r="M15" s="42" t="n">
        <f aca="false">MAX(0,J15+K15-I15)</f>
        <v>2214965.60888745</v>
      </c>
      <c r="N15" s="42" t="n">
        <f aca="false">C15*Assumptions!$B$5</f>
        <v>876936.9945</v>
      </c>
    </row>
    <row r="16" customFormat="false" ht="15" hidden="false" customHeight="true" outlineLevel="0" collapsed="false">
      <c r="A16" s="40" t="n">
        <f aca="false">Inputs_TMV!$A$15</f>
        <v>2036</v>
      </c>
      <c r="B16" s="41" t="n">
        <f aca="false">Inputs_TMV!$B$15</f>
        <v>54866000</v>
      </c>
      <c r="C16" s="42" t="n">
        <f aca="false">B16*Assumptions!$B$4</f>
        <v>685825</v>
      </c>
      <c r="D16" s="42" t="n">
        <f aca="false">MAX(C16-Assumptions!$B$9,0)</f>
        <v>648646</v>
      </c>
      <c r="E16" s="42" t="n">
        <f aca="false">D16*Assumptions!$B$5</f>
        <v>829397.69436</v>
      </c>
      <c r="F16" s="42" t="n">
        <f aca="false">E16*Assumptions!$B$8</f>
        <v>2985.831699696</v>
      </c>
      <c r="G16" s="42" t="n">
        <f aca="false">(E16-F16)*Assumptions!$B$7</f>
        <v>82641.1862660304</v>
      </c>
      <c r="H16" s="42" t="n">
        <f aca="false">(E16-F16-G16)*(1-Assumptions!$B$6)</f>
        <v>0</v>
      </c>
      <c r="I16" s="43" t="n">
        <f aca="false">(E16-F16-G16)*Assumptions!$B$6</f>
        <v>743770.676394274</v>
      </c>
      <c r="J16" s="42" t="n">
        <f aca="false">M15</f>
        <v>2214965.60888745</v>
      </c>
      <c r="K16" s="42" t="n">
        <f aca="false">J16*Assumptions!$B$13</f>
        <v>101888.418008823</v>
      </c>
      <c r="L16" s="42" t="n">
        <f aca="false">MAX(0,MIN(I16-K16,J16))</f>
        <v>641882.258385451</v>
      </c>
      <c r="M16" s="42" t="n">
        <f aca="false">MAX(0,J16+K16-I16)</f>
        <v>1573083.350502</v>
      </c>
      <c r="N16" s="42" t="n">
        <f aca="false">C16*Assumptions!$B$5</f>
        <v>876936.9945</v>
      </c>
    </row>
    <row r="17" customFormat="false" ht="15" hidden="false" customHeight="true" outlineLevel="0" collapsed="false">
      <c r="A17" s="40" t="n">
        <f aca="false">Inputs_TMV!$A$16</f>
        <v>2037</v>
      </c>
      <c r="B17" s="41" t="n">
        <f aca="false">Inputs_TMV!$B$16</f>
        <v>54866000</v>
      </c>
      <c r="C17" s="42" t="n">
        <f aca="false">B17*Assumptions!$B$4</f>
        <v>685825</v>
      </c>
      <c r="D17" s="42" t="n">
        <f aca="false">MAX(C17-Assumptions!$B$9,0)</f>
        <v>648646</v>
      </c>
      <c r="E17" s="42" t="n">
        <f aca="false">D17*Assumptions!$B$5</f>
        <v>829397.69436</v>
      </c>
      <c r="F17" s="42" t="n">
        <f aca="false">E17*Assumptions!$B$8</f>
        <v>2985.831699696</v>
      </c>
      <c r="G17" s="42" t="n">
        <f aca="false">(E17-F17)*Assumptions!$B$7</f>
        <v>82641.1862660304</v>
      </c>
      <c r="H17" s="42" t="n">
        <f aca="false">(E17-F17-G17)*(1-Assumptions!$B$6)</f>
        <v>0</v>
      </c>
      <c r="I17" s="43" t="n">
        <f aca="false">(E17-F17-G17)*Assumptions!$B$6</f>
        <v>743770.676394274</v>
      </c>
      <c r="J17" s="42" t="n">
        <f aca="false">M16</f>
        <v>1573083.350502</v>
      </c>
      <c r="K17" s="42" t="n">
        <f aca="false">J17*Assumptions!$B$13</f>
        <v>72361.8341230921</v>
      </c>
      <c r="L17" s="42" t="n">
        <f aca="false">MAX(0,MIN(I17-K17,J17))</f>
        <v>671408.842271182</v>
      </c>
      <c r="M17" s="42" t="n">
        <f aca="false">MAX(0,J17+K17-I17)</f>
        <v>901674.50823082</v>
      </c>
      <c r="N17" s="42" t="n">
        <f aca="false">C17*Assumptions!$B$5</f>
        <v>876936.9945</v>
      </c>
    </row>
    <row r="18" customFormat="false" ht="15" hidden="false" customHeight="true" outlineLevel="0" collapsed="false">
      <c r="A18" s="40" t="n">
        <f aca="false">Inputs_TMV!$A$17</f>
        <v>2038</v>
      </c>
      <c r="B18" s="41" t="n">
        <f aca="false">Inputs_TMV!$B$17</f>
        <v>54866000</v>
      </c>
      <c r="C18" s="42" t="n">
        <f aca="false">B18*Assumptions!$B$4</f>
        <v>685825</v>
      </c>
      <c r="D18" s="42" t="n">
        <f aca="false">MAX(C18-Assumptions!$B$9,0)</f>
        <v>648646</v>
      </c>
      <c r="E18" s="42" t="n">
        <f aca="false">D18*Assumptions!$B$5</f>
        <v>829397.69436</v>
      </c>
      <c r="F18" s="42" t="n">
        <f aca="false">E18*Assumptions!$B$8</f>
        <v>2985.831699696</v>
      </c>
      <c r="G18" s="42" t="n">
        <f aca="false">(E18-F18)*Assumptions!$B$7</f>
        <v>82641.1862660304</v>
      </c>
      <c r="H18" s="42" t="n">
        <f aca="false">(E18-F18-G18)*(1-Assumptions!$B$6)</f>
        <v>0</v>
      </c>
      <c r="I18" s="43" t="n">
        <f aca="false">(E18-F18-G18)*Assumptions!$B$6</f>
        <v>743770.676394274</v>
      </c>
      <c r="J18" s="42" t="n">
        <f aca="false">M17</f>
        <v>901674.50823082</v>
      </c>
      <c r="K18" s="42" t="n">
        <f aca="false">J18*Assumptions!$B$13</f>
        <v>41477.0273786177</v>
      </c>
      <c r="L18" s="42" t="n">
        <f aca="false">MAX(0,MIN(I18-K18,J18))</f>
        <v>702293.649015656</v>
      </c>
      <c r="M18" s="42" t="n">
        <f aca="false">MAX(0,J18+K18-I18)</f>
        <v>199380.859215164</v>
      </c>
      <c r="N18" s="42" t="n">
        <f aca="false">C18*Assumptions!$B$5</f>
        <v>876936.9945</v>
      </c>
    </row>
    <row r="19" customFormat="false" ht="15" hidden="false" customHeight="true" outlineLevel="0" collapsed="false">
      <c r="A19" s="40" t="n">
        <f aca="false">Inputs_TMV!$A$18</f>
        <v>2039</v>
      </c>
      <c r="B19" s="41" t="n">
        <f aca="false">Inputs_TMV!$B$18</f>
        <v>54866000</v>
      </c>
      <c r="C19" s="42" t="n">
        <f aca="false">B19*Assumptions!$B$4</f>
        <v>685825</v>
      </c>
      <c r="D19" s="42" t="n">
        <f aca="false">MAX(C19-Assumptions!$B$9,0)</f>
        <v>648646</v>
      </c>
      <c r="E19" s="42" t="n">
        <f aca="false">D19*Assumptions!$B$5</f>
        <v>829397.69436</v>
      </c>
      <c r="F19" s="42" t="n">
        <f aca="false">E19*Assumptions!$B$8</f>
        <v>2985.831699696</v>
      </c>
      <c r="G19" s="42" t="n">
        <f aca="false">(E19-F19)*Assumptions!$B$7</f>
        <v>82641.1862660304</v>
      </c>
      <c r="H19" s="42" t="n">
        <f aca="false">(E19-F19-G19)*(1-Assumptions!$B$6)</f>
        <v>0</v>
      </c>
      <c r="I19" s="43" t="n">
        <f aca="false">(E19-F19-G19)*Assumptions!$B$6</f>
        <v>743770.676394274</v>
      </c>
      <c r="J19" s="42" t="n">
        <f aca="false">M18</f>
        <v>199380.859215164</v>
      </c>
      <c r="K19" s="42" t="n">
        <f aca="false">J19*Assumptions!$B$13</f>
        <v>9171.51952389753</v>
      </c>
      <c r="L19" s="42" t="n">
        <f aca="false">MAX(0,MIN(I19-K19,J19))</f>
        <v>199380.859215164</v>
      </c>
      <c r="M19" s="42" t="n">
        <f aca="false">MAX(0,J19+K19-I19)</f>
        <v>0</v>
      </c>
      <c r="N19" s="42" t="n">
        <f aca="false">C19*Assumptions!$B$5</f>
        <v>876936.9945</v>
      </c>
    </row>
    <row r="20" customFormat="false" ht="15" hidden="false" customHeight="true" outlineLevel="0" collapsed="false">
      <c r="A20" s="40" t="n">
        <f aca="false">Inputs_TMV!$A$19</f>
        <v>2040</v>
      </c>
      <c r="B20" s="41" t="n">
        <f aca="false">Inputs_TMV!$B$19</f>
        <v>54866000</v>
      </c>
      <c r="C20" s="42" t="n">
        <f aca="false">B20*Assumptions!$B$4</f>
        <v>685825</v>
      </c>
      <c r="D20" s="42" t="n">
        <f aca="false">MAX(C20-Assumptions!$B$9,0)</f>
        <v>648646</v>
      </c>
      <c r="E20" s="42" t="n">
        <f aca="false">D20*Assumptions!$B$5</f>
        <v>829397.69436</v>
      </c>
      <c r="F20" s="42" t="n">
        <f aca="false">E20*Assumptions!$B$8</f>
        <v>2985.831699696</v>
      </c>
      <c r="G20" s="42" t="n">
        <f aca="false">(E20-F20)*Assumptions!$B$7</f>
        <v>82641.1862660304</v>
      </c>
      <c r="H20" s="42" t="n">
        <f aca="false">(E20-F20-G20)*(1-Assumptions!$B$6)</f>
        <v>0</v>
      </c>
      <c r="I20" s="43" t="n">
        <f aca="false">(E20-F20-G20)*Assumptions!$B$6</f>
        <v>743770.676394274</v>
      </c>
      <c r="J20" s="42" t="n">
        <f aca="false">M19</f>
        <v>0</v>
      </c>
      <c r="K20" s="42" t="n">
        <f aca="false">J20*Assumptions!$B$13</f>
        <v>0</v>
      </c>
      <c r="L20" s="42" t="n">
        <f aca="false">MAX(0,MIN(I20-K20,J20))</f>
        <v>0</v>
      </c>
      <c r="M20" s="42" t="n">
        <f aca="false">MAX(0,J20+K20-I20)</f>
        <v>0</v>
      </c>
      <c r="N20" s="42" t="n">
        <f aca="false">C20*Assumptions!$B$5</f>
        <v>876936.9945</v>
      </c>
    </row>
    <row r="21" customFormat="false" ht="15" hidden="false" customHeight="true" outlineLevel="0" collapsed="false">
      <c r="A21" s="40" t="n">
        <f aca="false">Inputs_TMV!$A$20</f>
        <v>2041</v>
      </c>
      <c r="B21" s="41" t="n">
        <f aca="false">Inputs_TMV!$B$20</f>
        <v>54866000</v>
      </c>
      <c r="C21" s="42" t="n">
        <f aca="false">B21*Assumptions!$B$4</f>
        <v>685825</v>
      </c>
      <c r="D21" s="42" t="n">
        <f aca="false">MAX(C21-Assumptions!$B$9,0)</f>
        <v>648646</v>
      </c>
      <c r="E21" s="42" t="n">
        <f aca="false">D21*Assumptions!$B$5</f>
        <v>829397.69436</v>
      </c>
      <c r="F21" s="42" t="n">
        <f aca="false">E21*Assumptions!$B$8</f>
        <v>2985.831699696</v>
      </c>
      <c r="G21" s="42" t="n">
        <f aca="false">(E21-F21)*Assumptions!$B$7</f>
        <v>82641.1862660304</v>
      </c>
      <c r="H21" s="42" t="n">
        <f aca="false">(E21-F21-G21)*(1-Assumptions!$B$6)</f>
        <v>0</v>
      </c>
      <c r="I21" s="43" t="n">
        <f aca="false">(E21-F21-G21)*Assumptions!$B$6</f>
        <v>743770.676394274</v>
      </c>
      <c r="J21" s="42" t="n">
        <f aca="false">M20</f>
        <v>0</v>
      </c>
      <c r="K21" s="42" t="n">
        <f aca="false">J21*Assumptions!$B$13</f>
        <v>0</v>
      </c>
      <c r="L21" s="42" t="n">
        <f aca="false">MAX(0,MIN(I21-K21,J21))</f>
        <v>0</v>
      </c>
      <c r="M21" s="42" t="n">
        <f aca="false">MAX(0,J21+K21-I21)</f>
        <v>0</v>
      </c>
      <c r="N21" s="42" t="n">
        <f aca="false">C21*Assumptions!$B$5</f>
        <v>876936.9945</v>
      </c>
    </row>
    <row r="22" customFormat="false" ht="15" hidden="false" customHeight="true" outlineLevel="0" collapsed="false">
      <c r="A22" s="40" t="n">
        <f aca="false">Inputs_TMV!$A$21</f>
        <v>2042</v>
      </c>
      <c r="B22" s="41" t="n">
        <f aca="false">Inputs_TMV!$B$21</f>
        <v>54866000</v>
      </c>
      <c r="C22" s="42" t="n">
        <f aca="false">B22*Assumptions!$B$4</f>
        <v>685825</v>
      </c>
      <c r="D22" s="42" t="n">
        <f aca="false">MAX(C22-Assumptions!$B$9,0)</f>
        <v>648646</v>
      </c>
      <c r="E22" s="42" t="n">
        <f aca="false">D22*Assumptions!$B$5</f>
        <v>829397.69436</v>
      </c>
      <c r="F22" s="42" t="n">
        <f aca="false">E22*Assumptions!$B$8</f>
        <v>2985.831699696</v>
      </c>
      <c r="G22" s="42" t="n">
        <f aca="false">(E22-F22)*Assumptions!$B$7</f>
        <v>82641.1862660304</v>
      </c>
      <c r="H22" s="42" t="n">
        <f aca="false">(E22-F22-G22)*(1-Assumptions!$B$6)</f>
        <v>0</v>
      </c>
      <c r="I22" s="43" t="n">
        <f aca="false">(E22-F22-G22)*Assumptions!$B$6</f>
        <v>743770.676394274</v>
      </c>
      <c r="J22" s="42" t="n">
        <f aca="false">M21</f>
        <v>0</v>
      </c>
      <c r="K22" s="42" t="n">
        <f aca="false">J22*Assumptions!$B$13</f>
        <v>0</v>
      </c>
      <c r="L22" s="42" t="n">
        <f aca="false">MAX(0,MIN(I22-K22,J22))</f>
        <v>0</v>
      </c>
      <c r="M22" s="42" t="n">
        <f aca="false">MAX(0,J22+K22-I22)</f>
        <v>0</v>
      </c>
      <c r="N22" s="42" t="n">
        <f aca="false">C22*Assumptions!$B$5</f>
        <v>876936.9945</v>
      </c>
    </row>
    <row r="23" customFormat="false" ht="15" hidden="false" customHeight="true" outlineLevel="0" collapsed="false">
      <c r="A23" s="40" t="n">
        <f aca="false">Inputs_TMV!$A$22</f>
        <v>2043</v>
      </c>
      <c r="B23" s="41" t="n">
        <f aca="false">Inputs_TMV!$B$22</f>
        <v>54866000</v>
      </c>
      <c r="C23" s="42" t="n">
        <f aca="false">B23*Assumptions!$B$4</f>
        <v>685825</v>
      </c>
      <c r="D23" s="42" t="n">
        <f aca="false">MAX(C23-Assumptions!$B$9,0)</f>
        <v>648646</v>
      </c>
      <c r="E23" s="42" t="n">
        <f aca="false">D23*Assumptions!$B$5</f>
        <v>829397.69436</v>
      </c>
      <c r="F23" s="42" t="n">
        <f aca="false">E23*Assumptions!$B$8</f>
        <v>2985.831699696</v>
      </c>
      <c r="G23" s="42" t="n">
        <f aca="false">(E23-F23)*Assumptions!$B$7</f>
        <v>82641.1862660304</v>
      </c>
      <c r="H23" s="42" t="n">
        <f aca="false">(E23-F23-G23)*(1-Assumptions!$B$6)</f>
        <v>0</v>
      </c>
      <c r="I23" s="43" t="n">
        <f aca="false">(E23-F23-G23)*Assumptions!$B$6</f>
        <v>743770.676394274</v>
      </c>
      <c r="J23" s="42" t="n">
        <f aca="false">M22</f>
        <v>0</v>
      </c>
      <c r="K23" s="42" t="n">
        <f aca="false">J23*Assumptions!$B$13</f>
        <v>0</v>
      </c>
      <c r="L23" s="42" t="n">
        <f aca="false">MAX(0,MIN(I23-K23,J23))</f>
        <v>0</v>
      </c>
      <c r="M23" s="42" t="n">
        <f aca="false">MAX(0,J23+K23-I23)</f>
        <v>0</v>
      </c>
      <c r="N23" s="42" t="n">
        <f aca="false">C23*Assumptions!$B$5</f>
        <v>876936.9945</v>
      </c>
    </row>
    <row r="24" customFormat="false" ht="15" hidden="false" customHeight="true" outlineLevel="0" collapsed="false">
      <c r="A24" s="40" t="n">
        <f aca="false">Inputs_TMV!$A$23</f>
        <v>2044</v>
      </c>
      <c r="B24" s="41" t="n">
        <f aca="false">Inputs_TMV!$B$23</f>
        <v>54866000</v>
      </c>
      <c r="C24" s="42" t="n">
        <f aca="false">B24*Assumptions!$B$4</f>
        <v>685825</v>
      </c>
      <c r="D24" s="42" t="n">
        <f aca="false">MAX(C24-Assumptions!$B$9,0)</f>
        <v>648646</v>
      </c>
      <c r="E24" s="42" t="n">
        <f aca="false">D24*Assumptions!$B$5</f>
        <v>829397.69436</v>
      </c>
      <c r="F24" s="42" t="n">
        <f aca="false">E24*Assumptions!$B$8</f>
        <v>2985.831699696</v>
      </c>
      <c r="G24" s="42" t="n">
        <f aca="false">(E24-F24)*Assumptions!$B$7</f>
        <v>82641.1862660304</v>
      </c>
      <c r="H24" s="42" t="n">
        <f aca="false">(E24-F24-G24)*(1-Assumptions!$B$6)</f>
        <v>0</v>
      </c>
      <c r="I24" s="43" t="n">
        <f aca="false">(E24-F24-G24)*Assumptions!$B$6</f>
        <v>743770.676394274</v>
      </c>
      <c r="J24" s="42" t="n">
        <f aca="false">M23</f>
        <v>0</v>
      </c>
      <c r="K24" s="42" t="n">
        <f aca="false">J24*Assumptions!$B$13</f>
        <v>0</v>
      </c>
      <c r="L24" s="42" t="n">
        <f aca="false">MAX(0,MIN(I24-K24,J24))</f>
        <v>0</v>
      </c>
      <c r="M24" s="42" t="n">
        <f aca="false">MAX(0,J24+K24-I24)</f>
        <v>0</v>
      </c>
      <c r="N24" s="42" t="n">
        <f aca="false">C24*Assumptions!$B$5</f>
        <v>876936.9945</v>
      </c>
    </row>
    <row r="25" customFormat="false" ht="15" hidden="false" customHeight="true" outlineLevel="0" collapsed="false">
      <c r="A25" s="44" t="s">
        <v>166</v>
      </c>
      <c r="C25" s="43" t="n">
        <f aca="false">SUM(C6:C24)</f>
        <v>13030675</v>
      </c>
      <c r="D25" s="43" t="n">
        <f aca="false">SUM(D6:D24)</f>
        <v>12324274</v>
      </c>
      <c r="E25" s="43" t="n">
        <f aca="false">SUM(E6:E24)</f>
        <v>15758556.19284</v>
      </c>
      <c r="F25" s="43" t="n">
        <f aca="false">SUM(F6:F24)</f>
        <v>56730.802294224</v>
      </c>
      <c r="G25" s="43" t="n">
        <f aca="false">SUM(G6:G24)</f>
        <v>1570182.53905458</v>
      </c>
      <c r="H25" s="43" t="n">
        <f aca="false">SUM(H6:H24)</f>
        <v>0</v>
      </c>
      <c r="I25" s="43" t="n">
        <f aca="false">SUM(I6:I24)</f>
        <v>14131642.8514912</v>
      </c>
      <c r="K25" s="43" t="n">
        <f aca="false">SUM(K6:K24)</f>
        <v>2608452.60186462</v>
      </c>
      <c r="L25" s="43" t="n">
        <f aca="false">SUM(L6:L24)</f>
        <v>7269118.57</v>
      </c>
      <c r="N25" s="43" t="n">
        <f aca="false">SUM(N6:N24)</f>
        <v>16661802.8955</v>
      </c>
    </row>
    <row r="27" customFormat="false" ht="15" hidden="false" customHeight="true" outlineLevel="0" collapsed="false">
      <c r="A27" s="44" t="s">
        <v>167</v>
      </c>
      <c r="B27" s="45" t="n">
        <f aca="false">IFERROR(INDEX(A6:A24,MATCH(TRUE(),M6:M24=0,0)),"Not paid off in horizon")</f>
        <v>2039</v>
      </c>
    </row>
    <row r="28" customFormat="false" ht="15" hidden="false" customHeight="true" outlineLevel="0" collapsed="false">
      <c r="A28" s="44" t="s">
        <v>168</v>
      </c>
      <c r="H28" s="44" t="s">
        <v>169</v>
      </c>
      <c r="I28" s="46" t="n">
        <f aca="false">NPV(Assumptions!$B$34,I6:I24)</f>
        <v>8988707.27023633</v>
      </c>
      <c r="M28" s="44" t="s">
        <v>170</v>
      </c>
      <c r="N28" s="46" t="n">
        <f aca="false">NPV(Assumptions!$B$34,N6:N24)</f>
        <v>10598064.9522445</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14" min="2" style="1" width="16"/>
  </cols>
  <sheetData>
    <row r="1" customFormat="false" ht="17.25" hidden="false" customHeight="true" outlineLevel="0" collapsed="false">
      <c r="A1" s="9" t="s">
        <v>171</v>
      </c>
      <c r="B1" s="9"/>
      <c r="C1" s="9"/>
      <c r="D1" s="9"/>
      <c r="E1" s="9"/>
      <c r="F1" s="9"/>
      <c r="G1" s="9"/>
      <c r="H1" s="9"/>
      <c r="I1" s="9"/>
      <c r="J1" s="9"/>
      <c r="K1" s="9"/>
      <c r="L1" s="9"/>
      <c r="M1" s="9"/>
    </row>
    <row r="2" customFormat="false" ht="15" hidden="false" customHeight="true" outlineLevel="0" collapsed="false">
      <c r="A2" s="17" t="s">
        <v>140</v>
      </c>
      <c r="B2" s="17"/>
      <c r="C2" s="17"/>
      <c r="D2" s="17"/>
      <c r="E2" s="17"/>
      <c r="F2" s="17"/>
      <c r="G2" s="17"/>
      <c r="H2" s="17"/>
      <c r="I2" s="17"/>
      <c r="J2" s="17"/>
      <c r="K2" s="17"/>
      <c r="L2" s="17"/>
      <c r="M2" s="17"/>
    </row>
    <row r="4" customFormat="false" ht="30" hidden="false" customHeight="true" outlineLevel="0" collapsed="false">
      <c r="A4" s="18" t="s">
        <v>84</v>
      </c>
      <c r="B4" s="18" t="s">
        <v>141</v>
      </c>
      <c r="C4" s="18" t="s">
        <v>142</v>
      </c>
      <c r="D4" s="18" t="s">
        <v>143</v>
      </c>
      <c r="E4" s="18" t="s">
        <v>144</v>
      </c>
      <c r="F4" s="18" t="s">
        <v>145</v>
      </c>
      <c r="G4" s="18" t="s">
        <v>146</v>
      </c>
      <c r="H4" s="18" t="s">
        <v>147</v>
      </c>
      <c r="I4" s="18" t="s">
        <v>148</v>
      </c>
      <c r="J4" s="18" t="s">
        <v>149</v>
      </c>
      <c r="K4" s="18" t="s">
        <v>150</v>
      </c>
      <c r="L4" s="18" t="s">
        <v>151</v>
      </c>
      <c r="M4" s="18" t="s">
        <v>152</v>
      </c>
      <c r="N4" s="18" t="s">
        <v>153</v>
      </c>
    </row>
    <row r="5" customFormat="false" ht="24" hidden="false" customHeight="true" outlineLevel="0" collapsed="false">
      <c r="A5" s="39"/>
      <c r="B5" s="39" t="s">
        <v>154</v>
      </c>
      <c r="C5" s="39" t="s">
        <v>155</v>
      </c>
      <c r="D5" s="39" t="s">
        <v>156</v>
      </c>
      <c r="E5" s="39" t="s">
        <v>157</v>
      </c>
      <c r="F5" s="39" t="s">
        <v>158</v>
      </c>
      <c r="G5" s="39" t="s">
        <v>159</v>
      </c>
      <c r="H5" s="39" t="s">
        <v>160</v>
      </c>
      <c r="I5" s="39" t="s">
        <v>161</v>
      </c>
      <c r="J5" s="39"/>
      <c r="K5" s="39" t="s">
        <v>162</v>
      </c>
      <c r="L5" s="39" t="s">
        <v>163</v>
      </c>
      <c r="M5" s="39" t="s">
        <v>164</v>
      </c>
      <c r="N5" s="39" t="s">
        <v>165</v>
      </c>
    </row>
    <row r="6" customFormat="false" ht="15" hidden="false" customHeight="true" outlineLevel="0" collapsed="false">
      <c r="A6" s="40" t="n">
        <f aca="false">Inputs_TMV!$A$5</f>
        <v>2026</v>
      </c>
      <c r="B6" s="41" t="n">
        <f aca="false">Inputs_TMV!$C$5</f>
        <v>52150000</v>
      </c>
      <c r="C6" s="42" t="n">
        <f aca="false">B6*Assumptions!$B$4</f>
        <v>651875</v>
      </c>
      <c r="D6" s="42" t="n">
        <f aca="false">MAX(C6-Assumptions!$B$9,0)</f>
        <v>614696</v>
      </c>
      <c r="E6" s="42" t="n">
        <f aca="false">D6*Assumptions!$B$5</f>
        <v>785987.18736</v>
      </c>
      <c r="F6" s="42" t="n">
        <f aca="false">E6*Assumptions!$B$8</f>
        <v>2829.553874496</v>
      </c>
      <c r="G6" s="42" t="n">
        <f aca="false">(E6-F6)*Assumptions!$B$7</f>
        <v>78315.7633485504</v>
      </c>
      <c r="H6" s="42" t="n">
        <f aca="false">(E6-F6-G6)*(1-Assumptions!$B$6)</f>
        <v>0</v>
      </c>
      <c r="I6" s="43" t="n">
        <f aca="false">(E6-F6-G6)*Assumptions!$B$6</f>
        <v>704841.870136954</v>
      </c>
      <c r="J6" s="42" t="n">
        <f aca="false">Assumptions!$B$15</f>
        <v>7269118.57</v>
      </c>
      <c r="K6" s="42" t="n">
        <f aca="false">J6*Assumptions!$B$13</f>
        <v>334379.45422</v>
      </c>
      <c r="L6" s="42" t="n">
        <f aca="false">MAX(0,MIN(I6-K6,J6))</f>
        <v>370462.415916954</v>
      </c>
      <c r="M6" s="42" t="n">
        <f aca="false">MAX(0,J6+K6-I6)</f>
        <v>6898656.15408305</v>
      </c>
      <c r="N6" s="42" t="n">
        <f aca="false">C6*Assumptions!$B$5</f>
        <v>833526.4875</v>
      </c>
    </row>
    <row r="7" customFormat="false" ht="15" hidden="false" customHeight="true" outlineLevel="0" collapsed="false">
      <c r="A7" s="40" t="n">
        <f aca="false">Inputs_TMV!$A$6</f>
        <v>2027</v>
      </c>
      <c r="B7" s="41" t="n">
        <f aca="false">Inputs_TMV!$C$6</f>
        <v>52150000</v>
      </c>
      <c r="C7" s="42" t="n">
        <f aca="false">B7*Assumptions!$B$4</f>
        <v>651875</v>
      </c>
      <c r="D7" s="42" t="n">
        <f aca="false">MAX(C7-Assumptions!$B$9,0)</f>
        <v>614696</v>
      </c>
      <c r="E7" s="42" t="n">
        <f aca="false">D7*Assumptions!$B$5</f>
        <v>785987.18736</v>
      </c>
      <c r="F7" s="42" t="n">
        <f aca="false">E7*Assumptions!$B$8</f>
        <v>2829.553874496</v>
      </c>
      <c r="G7" s="42" t="n">
        <f aca="false">(E7-F7)*Assumptions!$B$7</f>
        <v>78315.7633485504</v>
      </c>
      <c r="H7" s="42" t="n">
        <f aca="false">(E7-F7-G7)*(1-Assumptions!$B$6)</f>
        <v>0</v>
      </c>
      <c r="I7" s="43" t="n">
        <f aca="false">(E7-F7-G7)*Assumptions!$B$6</f>
        <v>704841.870136954</v>
      </c>
      <c r="J7" s="42" t="n">
        <f aca="false">M6</f>
        <v>6898656.15408305</v>
      </c>
      <c r="K7" s="42" t="n">
        <f aca="false">J7*Assumptions!$B$13</f>
        <v>317338.18308782</v>
      </c>
      <c r="L7" s="42" t="n">
        <f aca="false">MAX(0,MIN(I7-K7,J7))</f>
        <v>387503.687049133</v>
      </c>
      <c r="M7" s="42" t="n">
        <f aca="false">MAX(0,J7+K7-I7)</f>
        <v>6511152.46703391</v>
      </c>
      <c r="N7" s="42" t="n">
        <f aca="false">C7*Assumptions!$B$5</f>
        <v>833526.4875</v>
      </c>
    </row>
    <row r="8" customFormat="false" ht="15" hidden="false" customHeight="true" outlineLevel="0" collapsed="false">
      <c r="A8" s="40" t="n">
        <f aca="false">Inputs_TMV!$A$7</f>
        <v>2028</v>
      </c>
      <c r="B8" s="41" t="n">
        <f aca="false">Inputs_TMV!$C$7</f>
        <v>52150000</v>
      </c>
      <c r="C8" s="42" t="n">
        <f aca="false">B8*Assumptions!$B$4</f>
        <v>651875</v>
      </c>
      <c r="D8" s="42" t="n">
        <f aca="false">MAX(C8-Assumptions!$B$9,0)</f>
        <v>614696</v>
      </c>
      <c r="E8" s="42" t="n">
        <f aca="false">D8*Assumptions!$B$5</f>
        <v>785987.18736</v>
      </c>
      <c r="F8" s="42" t="n">
        <f aca="false">E8*Assumptions!$B$8</f>
        <v>2829.553874496</v>
      </c>
      <c r="G8" s="42" t="n">
        <f aca="false">(E8-F8)*Assumptions!$B$7</f>
        <v>78315.7633485504</v>
      </c>
      <c r="H8" s="42" t="n">
        <f aca="false">(E8-F8-G8)*(1-Assumptions!$B$6)</f>
        <v>0</v>
      </c>
      <c r="I8" s="43" t="n">
        <f aca="false">(E8-F8-G8)*Assumptions!$B$6</f>
        <v>704841.870136954</v>
      </c>
      <c r="J8" s="42" t="n">
        <f aca="false">M7</f>
        <v>6511152.46703391</v>
      </c>
      <c r="K8" s="42" t="n">
        <f aca="false">J8*Assumptions!$B$13</f>
        <v>299513.01348356</v>
      </c>
      <c r="L8" s="42" t="n">
        <f aca="false">MAX(0,MIN(I8-K8,J8))</f>
        <v>405328.856653394</v>
      </c>
      <c r="M8" s="42" t="n">
        <f aca="false">MAX(0,J8+K8-I8)</f>
        <v>6105823.61038052</v>
      </c>
      <c r="N8" s="42" t="n">
        <f aca="false">C8*Assumptions!$B$5</f>
        <v>833526.4875</v>
      </c>
    </row>
    <row r="9" customFormat="false" ht="15" hidden="false" customHeight="true" outlineLevel="0" collapsed="false">
      <c r="A9" s="40" t="n">
        <f aca="false">Inputs_TMV!$A$8</f>
        <v>2029</v>
      </c>
      <c r="B9" s="41" t="n">
        <f aca="false">Inputs_TMV!$C$8</f>
        <v>52150000</v>
      </c>
      <c r="C9" s="42" t="n">
        <f aca="false">B9*Assumptions!$B$4</f>
        <v>651875</v>
      </c>
      <c r="D9" s="42" t="n">
        <f aca="false">MAX(C9-Assumptions!$B$9,0)</f>
        <v>614696</v>
      </c>
      <c r="E9" s="42" t="n">
        <f aca="false">D9*Assumptions!$B$5</f>
        <v>785987.18736</v>
      </c>
      <c r="F9" s="42" t="n">
        <f aca="false">E9*Assumptions!$B$8</f>
        <v>2829.553874496</v>
      </c>
      <c r="G9" s="42" t="n">
        <f aca="false">(E9-F9)*Assumptions!$B$7</f>
        <v>78315.7633485504</v>
      </c>
      <c r="H9" s="42" t="n">
        <f aca="false">(E9-F9-G9)*(1-Assumptions!$B$6)</f>
        <v>0</v>
      </c>
      <c r="I9" s="43" t="n">
        <f aca="false">(E9-F9-G9)*Assumptions!$B$6</f>
        <v>704841.870136954</v>
      </c>
      <c r="J9" s="42" t="n">
        <f aca="false">M8</f>
        <v>6105823.61038052</v>
      </c>
      <c r="K9" s="42" t="n">
        <f aca="false">J9*Assumptions!$B$13</f>
        <v>280867.886077504</v>
      </c>
      <c r="L9" s="42" t="n">
        <f aca="false">MAX(0,MIN(I9-K9,J9))</f>
        <v>423973.98405945</v>
      </c>
      <c r="M9" s="42" t="n">
        <f aca="false">MAX(0,J9+K9-I9)</f>
        <v>5681849.62632107</v>
      </c>
      <c r="N9" s="42" t="n">
        <f aca="false">C9*Assumptions!$B$5</f>
        <v>833526.4875</v>
      </c>
    </row>
    <row r="10" customFormat="false" ht="15" hidden="false" customHeight="true" outlineLevel="0" collapsed="false">
      <c r="A10" s="40" t="n">
        <f aca="false">Inputs_TMV!$A$9</f>
        <v>2030</v>
      </c>
      <c r="B10" s="41" t="n">
        <f aca="false">Inputs_TMV!$C$9</f>
        <v>52150000</v>
      </c>
      <c r="C10" s="42" t="n">
        <f aca="false">B10*Assumptions!$B$4</f>
        <v>651875</v>
      </c>
      <c r="D10" s="42" t="n">
        <f aca="false">MAX(C10-Assumptions!$B$9,0)</f>
        <v>614696</v>
      </c>
      <c r="E10" s="42" t="n">
        <f aca="false">D10*Assumptions!$B$5</f>
        <v>785987.18736</v>
      </c>
      <c r="F10" s="42" t="n">
        <f aca="false">E10*Assumptions!$B$8</f>
        <v>2829.553874496</v>
      </c>
      <c r="G10" s="42" t="n">
        <f aca="false">(E10-F10)*Assumptions!$B$7</f>
        <v>78315.7633485504</v>
      </c>
      <c r="H10" s="42" t="n">
        <f aca="false">(E10-F10-G10)*(1-Assumptions!$B$6)</f>
        <v>0</v>
      </c>
      <c r="I10" s="43" t="n">
        <f aca="false">(E10-F10-G10)*Assumptions!$B$6</f>
        <v>704841.870136954</v>
      </c>
      <c r="J10" s="42" t="n">
        <f aca="false">M9</f>
        <v>5681849.62632107</v>
      </c>
      <c r="K10" s="42" t="n">
        <f aca="false">J10*Assumptions!$B$13</f>
        <v>261365.082810769</v>
      </c>
      <c r="L10" s="42" t="n">
        <f aca="false">MAX(0,MIN(I10-K10,J10))</f>
        <v>443476.787326184</v>
      </c>
      <c r="M10" s="42" t="n">
        <f aca="false">MAX(0,J10+K10-I10)</f>
        <v>5238372.83899488</v>
      </c>
      <c r="N10" s="42" t="n">
        <f aca="false">C10*Assumptions!$B$5</f>
        <v>833526.4875</v>
      </c>
    </row>
    <row r="11" customFormat="false" ht="15" hidden="false" customHeight="true" outlineLevel="0" collapsed="false">
      <c r="A11" s="40" t="n">
        <f aca="false">Inputs_TMV!$A$10</f>
        <v>2031</v>
      </c>
      <c r="B11" s="41" t="n">
        <f aca="false">Inputs_TMV!$C$10</f>
        <v>52150000</v>
      </c>
      <c r="C11" s="42" t="n">
        <f aca="false">B11*Assumptions!$B$4</f>
        <v>651875</v>
      </c>
      <c r="D11" s="42" t="n">
        <f aca="false">MAX(C11-Assumptions!$B$9,0)</f>
        <v>614696</v>
      </c>
      <c r="E11" s="42" t="n">
        <f aca="false">D11*Assumptions!$B$5</f>
        <v>785987.18736</v>
      </c>
      <c r="F11" s="42" t="n">
        <f aca="false">E11*Assumptions!$B$8</f>
        <v>2829.553874496</v>
      </c>
      <c r="G11" s="42" t="n">
        <f aca="false">(E11-F11)*Assumptions!$B$7</f>
        <v>78315.7633485504</v>
      </c>
      <c r="H11" s="42" t="n">
        <f aca="false">(E11-F11-G11)*(1-Assumptions!$B$6)</f>
        <v>0</v>
      </c>
      <c r="I11" s="43" t="n">
        <f aca="false">(E11-F11-G11)*Assumptions!$B$6</f>
        <v>704841.870136954</v>
      </c>
      <c r="J11" s="42" t="n">
        <f aca="false">M10</f>
        <v>5238372.83899488</v>
      </c>
      <c r="K11" s="42" t="n">
        <f aca="false">J11*Assumptions!$B$13</f>
        <v>240965.150593765</v>
      </c>
      <c r="L11" s="42" t="n">
        <f aca="false">MAX(0,MIN(I11-K11,J11))</f>
        <v>463876.719543189</v>
      </c>
      <c r="M11" s="42" t="n">
        <f aca="false">MAX(0,J11+K11-I11)</f>
        <v>4774496.11945169</v>
      </c>
      <c r="N11" s="42" t="n">
        <f aca="false">C11*Assumptions!$B$5</f>
        <v>833526.4875</v>
      </c>
    </row>
    <row r="12" customFormat="false" ht="15" hidden="false" customHeight="true" outlineLevel="0" collapsed="false">
      <c r="A12" s="40" t="n">
        <f aca="false">Inputs_TMV!$A$11</f>
        <v>2032</v>
      </c>
      <c r="B12" s="41" t="n">
        <f aca="false">Inputs_TMV!$C$11</f>
        <v>52150000</v>
      </c>
      <c r="C12" s="42" t="n">
        <f aca="false">B12*Assumptions!$B$4</f>
        <v>651875</v>
      </c>
      <c r="D12" s="42" t="n">
        <f aca="false">MAX(C12-Assumptions!$B$9,0)</f>
        <v>614696</v>
      </c>
      <c r="E12" s="42" t="n">
        <f aca="false">D12*Assumptions!$B$5</f>
        <v>785987.18736</v>
      </c>
      <c r="F12" s="42" t="n">
        <f aca="false">E12*Assumptions!$B$8</f>
        <v>2829.553874496</v>
      </c>
      <c r="G12" s="42" t="n">
        <f aca="false">(E12-F12)*Assumptions!$B$7</f>
        <v>78315.7633485504</v>
      </c>
      <c r="H12" s="42" t="n">
        <f aca="false">(E12-F12-G12)*(1-Assumptions!$B$6)</f>
        <v>0</v>
      </c>
      <c r="I12" s="43" t="n">
        <f aca="false">(E12-F12-G12)*Assumptions!$B$6</f>
        <v>704841.870136954</v>
      </c>
      <c r="J12" s="42" t="n">
        <f aca="false">M11</f>
        <v>4774496.11945169</v>
      </c>
      <c r="K12" s="42" t="n">
        <f aca="false">J12*Assumptions!$B$13</f>
        <v>219626.821494778</v>
      </c>
      <c r="L12" s="42" t="n">
        <f aca="false">MAX(0,MIN(I12-K12,J12))</f>
        <v>485215.048642176</v>
      </c>
      <c r="M12" s="42" t="n">
        <f aca="false">MAX(0,J12+K12-I12)</f>
        <v>4289281.07080952</v>
      </c>
      <c r="N12" s="42" t="n">
        <f aca="false">C12*Assumptions!$B$5</f>
        <v>833526.4875</v>
      </c>
    </row>
    <row r="13" customFormat="false" ht="15" hidden="false" customHeight="true" outlineLevel="0" collapsed="false">
      <c r="A13" s="40" t="n">
        <f aca="false">Inputs_TMV!$A$12</f>
        <v>2033</v>
      </c>
      <c r="B13" s="41" t="n">
        <f aca="false">Inputs_TMV!$C$12</f>
        <v>52150000</v>
      </c>
      <c r="C13" s="42" t="n">
        <f aca="false">B13*Assumptions!$B$4</f>
        <v>651875</v>
      </c>
      <c r="D13" s="42" t="n">
        <f aca="false">MAX(C13-Assumptions!$B$9,0)</f>
        <v>614696</v>
      </c>
      <c r="E13" s="42" t="n">
        <f aca="false">D13*Assumptions!$B$5</f>
        <v>785987.18736</v>
      </c>
      <c r="F13" s="42" t="n">
        <f aca="false">E13*Assumptions!$B$8</f>
        <v>2829.553874496</v>
      </c>
      <c r="G13" s="42" t="n">
        <f aca="false">(E13-F13)*Assumptions!$B$7</f>
        <v>78315.7633485504</v>
      </c>
      <c r="H13" s="42" t="n">
        <f aca="false">(E13-F13-G13)*(1-Assumptions!$B$6)</f>
        <v>0</v>
      </c>
      <c r="I13" s="43" t="n">
        <f aca="false">(E13-F13-G13)*Assumptions!$B$6</f>
        <v>704841.870136954</v>
      </c>
      <c r="J13" s="42" t="n">
        <f aca="false">M12</f>
        <v>4289281.07080952</v>
      </c>
      <c r="K13" s="42" t="n">
        <f aca="false">J13*Assumptions!$B$13</f>
        <v>197306.929257238</v>
      </c>
      <c r="L13" s="42" t="n">
        <f aca="false">MAX(0,MIN(I13-K13,J13))</f>
        <v>507534.940879716</v>
      </c>
      <c r="M13" s="42" t="n">
        <f aca="false">MAX(0,J13+K13-I13)</f>
        <v>3781746.1299298</v>
      </c>
      <c r="N13" s="42" t="n">
        <f aca="false">C13*Assumptions!$B$5</f>
        <v>833526.4875</v>
      </c>
    </row>
    <row r="14" customFormat="false" ht="15" hidden="false" customHeight="true" outlineLevel="0" collapsed="false">
      <c r="A14" s="40" t="n">
        <f aca="false">Inputs_TMV!$A$13</f>
        <v>2034</v>
      </c>
      <c r="B14" s="41" t="n">
        <f aca="false">Inputs_TMV!$C$13</f>
        <v>52150000</v>
      </c>
      <c r="C14" s="42" t="n">
        <f aca="false">B14*Assumptions!$B$4</f>
        <v>651875</v>
      </c>
      <c r="D14" s="42" t="n">
        <f aca="false">MAX(C14-Assumptions!$B$9,0)</f>
        <v>614696</v>
      </c>
      <c r="E14" s="42" t="n">
        <f aca="false">D14*Assumptions!$B$5</f>
        <v>785987.18736</v>
      </c>
      <c r="F14" s="42" t="n">
        <f aca="false">E14*Assumptions!$B$8</f>
        <v>2829.553874496</v>
      </c>
      <c r="G14" s="42" t="n">
        <f aca="false">(E14-F14)*Assumptions!$B$7</f>
        <v>78315.7633485504</v>
      </c>
      <c r="H14" s="42" t="n">
        <f aca="false">(E14-F14-G14)*(1-Assumptions!$B$6)</f>
        <v>0</v>
      </c>
      <c r="I14" s="43" t="n">
        <f aca="false">(E14-F14-G14)*Assumptions!$B$6</f>
        <v>704841.870136954</v>
      </c>
      <c r="J14" s="42" t="n">
        <f aca="false">M13</f>
        <v>3781746.1299298</v>
      </c>
      <c r="K14" s="42" t="n">
        <f aca="false">J14*Assumptions!$B$13</f>
        <v>173960.321976771</v>
      </c>
      <c r="L14" s="42" t="n">
        <f aca="false">MAX(0,MIN(I14-K14,J14))</f>
        <v>530881.548160183</v>
      </c>
      <c r="M14" s="42" t="n">
        <f aca="false">MAX(0,J14+K14-I14)</f>
        <v>3250864.58176962</v>
      </c>
      <c r="N14" s="42" t="n">
        <f aca="false">C14*Assumptions!$B$5</f>
        <v>833526.4875</v>
      </c>
    </row>
    <row r="15" customFormat="false" ht="15" hidden="false" customHeight="true" outlineLevel="0" collapsed="false">
      <c r="A15" s="40" t="n">
        <f aca="false">Inputs_TMV!$A$14</f>
        <v>2035</v>
      </c>
      <c r="B15" s="41" t="n">
        <f aca="false">Inputs_TMV!$C$14</f>
        <v>52150000</v>
      </c>
      <c r="C15" s="42" t="n">
        <f aca="false">B15*Assumptions!$B$4</f>
        <v>651875</v>
      </c>
      <c r="D15" s="42" t="n">
        <f aca="false">MAX(C15-Assumptions!$B$9,0)</f>
        <v>614696</v>
      </c>
      <c r="E15" s="42" t="n">
        <f aca="false">D15*Assumptions!$B$5</f>
        <v>785987.18736</v>
      </c>
      <c r="F15" s="42" t="n">
        <f aca="false">E15*Assumptions!$B$8</f>
        <v>2829.553874496</v>
      </c>
      <c r="G15" s="42" t="n">
        <f aca="false">(E15-F15)*Assumptions!$B$7</f>
        <v>78315.7633485504</v>
      </c>
      <c r="H15" s="42" t="n">
        <f aca="false">(E15-F15-G15)*(1-Assumptions!$B$6)</f>
        <v>0</v>
      </c>
      <c r="I15" s="43" t="n">
        <f aca="false">(E15-F15-G15)*Assumptions!$B$6</f>
        <v>704841.870136954</v>
      </c>
      <c r="J15" s="42" t="n">
        <f aca="false">M14</f>
        <v>3250864.58176962</v>
      </c>
      <c r="K15" s="42" t="n">
        <f aca="false">J15*Assumptions!$B$13</f>
        <v>149539.770761403</v>
      </c>
      <c r="L15" s="42" t="n">
        <f aca="false">MAX(0,MIN(I15-K15,J15))</f>
        <v>555302.099375551</v>
      </c>
      <c r="M15" s="42" t="n">
        <f aca="false">MAX(0,J15+K15-I15)</f>
        <v>2695562.48239407</v>
      </c>
      <c r="N15" s="42" t="n">
        <f aca="false">C15*Assumptions!$B$5</f>
        <v>833526.4875</v>
      </c>
    </row>
    <row r="16" customFormat="false" ht="15" hidden="false" customHeight="true" outlineLevel="0" collapsed="false">
      <c r="A16" s="40" t="n">
        <f aca="false">Inputs_TMV!$A$15</f>
        <v>2036</v>
      </c>
      <c r="B16" s="41" t="n">
        <f aca="false">Inputs_TMV!$C$15</f>
        <v>52150000</v>
      </c>
      <c r="C16" s="42" t="n">
        <f aca="false">B16*Assumptions!$B$4</f>
        <v>651875</v>
      </c>
      <c r="D16" s="42" t="n">
        <f aca="false">MAX(C16-Assumptions!$B$9,0)</f>
        <v>614696</v>
      </c>
      <c r="E16" s="42" t="n">
        <f aca="false">D16*Assumptions!$B$5</f>
        <v>785987.18736</v>
      </c>
      <c r="F16" s="42" t="n">
        <f aca="false">E16*Assumptions!$B$8</f>
        <v>2829.553874496</v>
      </c>
      <c r="G16" s="42" t="n">
        <f aca="false">(E16-F16)*Assumptions!$B$7</f>
        <v>78315.7633485504</v>
      </c>
      <c r="H16" s="42" t="n">
        <f aca="false">(E16-F16-G16)*(1-Assumptions!$B$6)</f>
        <v>0</v>
      </c>
      <c r="I16" s="43" t="n">
        <f aca="false">(E16-F16-G16)*Assumptions!$B$6</f>
        <v>704841.870136954</v>
      </c>
      <c r="J16" s="42" t="n">
        <f aca="false">M15</f>
        <v>2695562.48239407</v>
      </c>
      <c r="K16" s="42" t="n">
        <f aca="false">J16*Assumptions!$B$13</f>
        <v>123995.874190127</v>
      </c>
      <c r="L16" s="42" t="n">
        <f aca="false">MAX(0,MIN(I16-K16,J16))</f>
        <v>580845.995946826</v>
      </c>
      <c r="M16" s="42" t="n">
        <f aca="false">MAX(0,J16+K16-I16)</f>
        <v>2114716.48644724</v>
      </c>
      <c r="N16" s="42" t="n">
        <f aca="false">C16*Assumptions!$B$5</f>
        <v>833526.4875</v>
      </c>
    </row>
    <row r="17" customFormat="false" ht="15" hidden="false" customHeight="true" outlineLevel="0" collapsed="false">
      <c r="A17" s="40" t="n">
        <f aca="false">Inputs_TMV!$A$16</f>
        <v>2037</v>
      </c>
      <c r="B17" s="41" t="n">
        <f aca="false">Inputs_TMV!$C$16</f>
        <v>52150000</v>
      </c>
      <c r="C17" s="42" t="n">
        <f aca="false">B17*Assumptions!$B$4</f>
        <v>651875</v>
      </c>
      <c r="D17" s="42" t="n">
        <f aca="false">MAX(C17-Assumptions!$B$9,0)</f>
        <v>614696</v>
      </c>
      <c r="E17" s="42" t="n">
        <f aca="false">D17*Assumptions!$B$5</f>
        <v>785987.18736</v>
      </c>
      <c r="F17" s="42" t="n">
        <f aca="false">E17*Assumptions!$B$8</f>
        <v>2829.553874496</v>
      </c>
      <c r="G17" s="42" t="n">
        <f aca="false">(E17-F17)*Assumptions!$B$7</f>
        <v>78315.7633485504</v>
      </c>
      <c r="H17" s="42" t="n">
        <f aca="false">(E17-F17-G17)*(1-Assumptions!$B$6)</f>
        <v>0</v>
      </c>
      <c r="I17" s="43" t="n">
        <f aca="false">(E17-F17-G17)*Assumptions!$B$6</f>
        <v>704841.870136954</v>
      </c>
      <c r="J17" s="42" t="n">
        <f aca="false">M16</f>
        <v>2114716.48644724</v>
      </c>
      <c r="K17" s="42" t="n">
        <f aca="false">J17*Assumptions!$B$13</f>
        <v>97276.9583765731</v>
      </c>
      <c r="L17" s="42" t="n">
        <f aca="false">MAX(0,MIN(I17-K17,J17))</f>
        <v>607564.91176038</v>
      </c>
      <c r="M17" s="42" t="n">
        <f aca="false">MAX(0,J17+K17-I17)</f>
        <v>1507151.57468686</v>
      </c>
      <c r="N17" s="42" t="n">
        <f aca="false">C17*Assumptions!$B$5</f>
        <v>833526.4875</v>
      </c>
    </row>
    <row r="18" customFormat="false" ht="15" hidden="false" customHeight="true" outlineLevel="0" collapsed="false">
      <c r="A18" s="40" t="n">
        <f aca="false">Inputs_TMV!$A$17</f>
        <v>2038</v>
      </c>
      <c r="B18" s="41" t="n">
        <f aca="false">Inputs_TMV!$C$17</f>
        <v>52150000</v>
      </c>
      <c r="C18" s="42" t="n">
        <f aca="false">B18*Assumptions!$B$4</f>
        <v>651875</v>
      </c>
      <c r="D18" s="42" t="n">
        <f aca="false">MAX(C18-Assumptions!$B$9,0)</f>
        <v>614696</v>
      </c>
      <c r="E18" s="42" t="n">
        <f aca="false">D18*Assumptions!$B$5</f>
        <v>785987.18736</v>
      </c>
      <c r="F18" s="42" t="n">
        <f aca="false">E18*Assumptions!$B$8</f>
        <v>2829.553874496</v>
      </c>
      <c r="G18" s="42" t="n">
        <f aca="false">(E18-F18)*Assumptions!$B$7</f>
        <v>78315.7633485504</v>
      </c>
      <c r="H18" s="42" t="n">
        <f aca="false">(E18-F18-G18)*(1-Assumptions!$B$6)</f>
        <v>0</v>
      </c>
      <c r="I18" s="43" t="n">
        <f aca="false">(E18-F18-G18)*Assumptions!$B$6</f>
        <v>704841.870136954</v>
      </c>
      <c r="J18" s="42" t="n">
        <f aca="false">M17</f>
        <v>1507151.57468686</v>
      </c>
      <c r="K18" s="42" t="n">
        <f aca="false">J18*Assumptions!$B$13</f>
        <v>69328.9724355956</v>
      </c>
      <c r="L18" s="42" t="n">
        <f aca="false">MAX(0,MIN(I18-K18,J18))</f>
        <v>635512.897701358</v>
      </c>
      <c r="M18" s="42" t="n">
        <f aca="false">MAX(0,J18+K18-I18)</f>
        <v>871638.676985504</v>
      </c>
      <c r="N18" s="42" t="n">
        <f aca="false">C18*Assumptions!$B$5</f>
        <v>833526.4875</v>
      </c>
    </row>
    <row r="19" customFormat="false" ht="15" hidden="false" customHeight="true" outlineLevel="0" collapsed="false">
      <c r="A19" s="40" t="n">
        <f aca="false">Inputs_TMV!$A$18</f>
        <v>2039</v>
      </c>
      <c r="B19" s="41" t="n">
        <f aca="false">Inputs_TMV!$C$18</f>
        <v>52150000</v>
      </c>
      <c r="C19" s="42" t="n">
        <f aca="false">B19*Assumptions!$B$4</f>
        <v>651875</v>
      </c>
      <c r="D19" s="42" t="n">
        <f aca="false">MAX(C19-Assumptions!$B$9,0)</f>
        <v>614696</v>
      </c>
      <c r="E19" s="42" t="n">
        <f aca="false">D19*Assumptions!$B$5</f>
        <v>785987.18736</v>
      </c>
      <c r="F19" s="42" t="n">
        <f aca="false">E19*Assumptions!$B$8</f>
        <v>2829.553874496</v>
      </c>
      <c r="G19" s="42" t="n">
        <f aca="false">(E19-F19)*Assumptions!$B$7</f>
        <v>78315.7633485504</v>
      </c>
      <c r="H19" s="42" t="n">
        <f aca="false">(E19-F19-G19)*(1-Assumptions!$B$6)</f>
        <v>0</v>
      </c>
      <c r="I19" s="43" t="n">
        <f aca="false">(E19-F19-G19)*Assumptions!$B$6</f>
        <v>704841.870136954</v>
      </c>
      <c r="J19" s="42" t="n">
        <f aca="false">M18</f>
        <v>871638.676985504</v>
      </c>
      <c r="K19" s="42" t="n">
        <f aca="false">J19*Assumptions!$B$13</f>
        <v>40095.3791413332</v>
      </c>
      <c r="L19" s="42" t="n">
        <f aca="false">MAX(0,MIN(I19-K19,J19))</f>
        <v>664746.49099562</v>
      </c>
      <c r="M19" s="42" t="n">
        <f aca="false">MAX(0,J19+K19-I19)</f>
        <v>206892.185989883</v>
      </c>
      <c r="N19" s="42" t="n">
        <f aca="false">C19*Assumptions!$B$5</f>
        <v>833526.4875</v>
      </c>
    </row>
    <row r="20" customFormat="false" ht="15" hidden="false" customHeight="true" outlineLevel="0" collapsed="false">
      <c r="A20" s="40" t="n">
        <f aca="false">Inputs_TMV!$A$19</f>
        <v>2040</v>
      </c>
      <c r="B20" s="41" t="n">
        <f aca="false">Inputs_TMV!$C$19</f>
        <v>52150000</v>
      </c>
      <c r="C20" s="42" t="n">
        <f aca="false">B20*Assumptions!$B$4</f>
        <v>651875</v>
      </c>
      <c r="D20" s="42" t="n">
        <f aca="false">MAX(C20-Assumptions!$B$9,0)</f>
        <v>614696</v>
      </c>
      <c r="E20" s="42" t="n">
        <f aca="false">D20*Assumptions!$B$5</f>
        <v>785987.18736</v>
      </c>
      <c r="F20" s="42" t="n">
        <f aca="false">E20*Assumptions!$B$8</f>
        <v>2829.553874496</v>
      </c>
      <c r="G20" s="42" t="n">
        <f aca="false">(E20-F20)*Assumptions!$B$7</f>
        <v>78315.7633485504</v>
      </c>
      <c r="H20" s="42" t="n">
        <f aca="false">(E20-F20-G20)*(1-Assumptions!$B$6)</f>
        <v>0</v>
      </c>
      <c r="I20" s="43" t="n">
        <f aca="false">(E20-F20-G20)*Assumptions!$B$6</f>
        <v>704841.870136954</v>
      </c>
      <c r="J20" s="42" t="n">
        <f aca="false">M19</f>
        <v>206892.185989883</v>
      </c>
      <c r="K20" s="42" t="n">
        <f aca="false">J20*Assumptions!$B$13</f>
        <v>9517.04055553464</v>
      </c>
      <c r="L20" s="42" t="n">
        <f aca="false">MAX(0,MIN(I20-K20,J20))</f>
        <v>206892.185989883</v>
      </c>
      <c r="M20" s="42" t="n">
        <f aca="false">MAX(0,J20+K20-I20)</f>
        <v>0</v>
      </c>
      <c r="N20" s="42" t="n">
        <f aca="false">C20*Assumptions!$B$5</f>
        <v>833526.4875</v>
      </c>
    </row>
    <row r="21" customFormat="false" ht="15" hidden="false" customHeight="true" outlineLevel="0" collapsed="false">
      <c r="A21" s="40" t="n">
        <f aca="false">Inputs_TMV!$A$20</f>
        <v>2041</v>
      </c>
      <c r="B21" s="41" t="n">
        <f aca="false">Inputs_TMV!$C$20</f>
        <v>52150000</v>
      </c>
      <c r="C21" s="42" t="n">
        <f aca="false">B21*Assumptions!$B$4</f>
        <v>651875</v>
      </c>
      <c r="D21" s="42" t="n">
        <f aca="false">MAX(C21-Assumptions!$B$9,0)</f>
        <v>614696</v>
      </c>
      <c r="E21" s="42" t="n">
        <f aca="false">D21*Assumptions!$B$5</f>
        <v>785987.18736</v>
      </c>
      <c r="F21" s="42" t="n">
        <f aca="false">E21*Assumptions!$B$8</f>
        <v>2829.553874496</v>
      </c>
      <c r="G21" s="42" t="n">
        <f aca="false">(E21-F21)*Assumptions!$B$7</f>
        <v>78315.7633485504</v>
      </c>
      <c r="H21" s="42" t="n">
        <f aca="false">(E21-F21-G21)*(1-Assumptions!$B$6)</f>
        <v>0</v>
      </c>
      <c r="I21" s="43" t="n">
        <f aca="false">(E21-F21-G21)*Assumptions!$B$6</f>
        <v>704841.870136954</v>
      </c>
      <c r="J21" s="42" t="n">
        <f aca="false">M20</f>
        <v>0</v>
      </c>
      <c r="K21" s="42" t="n">
        <f aca="false">J21*Assumptions!$B$13</f>
        <v>0</v>
      </c>
      <c r="L21" s="42" t="n">
        <f aca="false">MAX(0,MIN(I21-K21,J21))</f>
        <v>0</v>
      </c>
      <c r="M21" s="42" t="n">
        <f aca="false">MAX(0,J21+K21-I21)</f>
        <v>0</v>
      </c>
      <c r="N21" s="42" t="n">
        <f aca="false">C21*Assumptions!$B$5</f>
        <v>833526.4875</v>
      </c>
    </row>
    <row r="22" customFormat="false" ht="15" hidden="false" customHeight="true" outlineLevel="0" collapsed="false">
      <c r="A22" s="40" t="n">
        <f aca="false">Inputs_TMV!$A$21</f>
        <v>2042</v>
      </c>
      <c r="B22" s="41" t="n">
        <f aca="false">Inputs_TMV!$C$21</f>
        <v>52150000</v>
      </c>
      <c r="C22" s="42" t="n">
        <f aca="false">B22*Assumptions!$B$4</f>
        <v>651875</v>
      </c>
      <c r="D22" s="42" t="n">
        <f aca="false">MAX(C22-Assumptions!$B$9,0)</f>
        <v>614696</v>
      </c>
      <c r="E22" s="42" t="n">
        <f aca="false">D22*Assumptions!$B$5</f>
        <v>785987.18736</v>
      </c>
      <c r="F22" s="42" t="n">
        <f aca="false">E22*Assumptions!$B$8</f>
        <v>2829.553874496</v>
      </c>
      <c r="G22" s="42" t="n">
        <f aca="false">(E22-F22)*Assumptions!$B$7</f>
        <v>78315.7633485504</v>
      </c>
      <c r="H22" s="42" t="n">
        <f aca="false">(E22-F22-G22)*(1-Assumptions!$B$6)</f>
        <v>0</v>
      </c>
      <c r="I22" s="43" t="n">
        <f aca="false">(E22-F22-G22)*Assumptions!$B$6</f>
        <v>704841.870136954</v>
      </c>
      <c r="J22" s="42" t="n">
        <f aca="false">M21</f>
        <v>0</v>
      </c>
      <c r="K22" s="42" t="n">
        <f aca="false">J22*Assumptions!$B$13</f>
        <v>0</v>
      </c>
      <c r="L22" s="42" t="n">
        <f aca="false">MAX(0,MIN(I22-K22,J22))</f>
        <v>0</v>
      </c>
      <c r="M22" s="42" t="n">
        <f aca="false">MAX(0,J22+K22-I22)</f>
        <v>0</v>
      </c>
      <c r="N22" s="42" t="n">
        <f aca="false">C22*Assumptions!$B$5</f>
        <v>833526.4875</v>
      </c>
    </row>
    <row r="23" customFormat="false" ht="15" hidden="false" customHeight="true" outlineLevel="0" collapsed="false">
      <c r="A23" s="40" t="n">
        <f aca="false">Inputs_TMV!$A$22</f>
        <v>2043</v>
      </c>
      <c r="B23" s="41" t="n">
        <f aca="false">Inputs_TMV!$C$22</f>
        <v>52150000</v>
      </c>
      <c r="C23" s="42" t="n">
        <f aca="false">B23*Assumptions!$B$4</f>
        <v>651875</v>
      </c>
      <c r="D23" s="42" t="n">
        <f aca="false">MAX(C23-Assumptions!$B$9,0)</f>
        <v>614696</v>
      </c>
      <c r="E23" s="42" t="n">
        <f aca="false">D23*Assumptions!$B$5</f>
        <v>785987.18736</v>
      </c>
      <c r="F23" s="42" t="n">
        <f aca="false">E23*Assumptions!$B$8</f>
        <v>2829.553874496</v>
      </c>
      <c r="G23" s="42" t="n">
        <f aca="false">(E23-F23)*Assumptions!$B$7</f>
        <v>78315.7633485504</v>
      </c>
      <c r="H23" s="42" t="n">
        <f aca="false">(E23-F23-G23)*(1-Assumptions!$B$6)</f>
        <v>0</v>
      </c>
      <c r="I23" s="43" t="n">
        <f aca="false">(E23-F23-G23)*Assumptions!$B$6</f>
        <v>704841.870136954</v>
      </c>
      <c r="J23" s="42" t="n">
        <f aca="false">M22</f>
        <v>0</v>
      </c>
      <c r="K23" s="42" t="n">
        <f aca="false">J23*Assumptions!$B$13</f>
        <v>0</v>
      </c>
      <c r="L23" s="42" t="n">
        <f aca="false">MAX(0,MIN(I23-K23,J23))</f>
        <v>0</v>
      </c>
      <c r="M23" s="42" t="n">
        <f aca="false">MAX(0,J23+K23-I23)</f>
        <v>0</v>
      </c>
      <c r="N23" s="42" t="n">
        <f aca="false">C23*Assumptions!$B$5</f>
        <v>833526.4875</v>
      </c>
    </row>
    <row r="24" customFormat="false" ht="15" hidden="false" customHeight="true" outlineLevel="0" collapsed="false">
      <c r="A24" s="40" t="n">
        <f aca="false">Inputs_TMV!$A$23</f>
        <v>2044</v>
      </c>
      <c r="B24" s="41" t="n">
        <f aca="false">Inputs_TMV!$C$23</f>
        <v>52150000</v>
      </c>
      <c r="C24" s="42" t="n">
        <f aca="false">B24*Assumptions!$B$4</f>
        <v>651875</v>
      </c>
      <c r="D24" s="42" t="n">
        <f aca="false">MAX(C24-Assumptions!$B$9,0)</f>
        <v>614696</v>
      </c>
      <c r="E24" s="42" t="n">
        <f aca="false">D24*Assumptions!$B$5</f>
        <v>785987.18736</v>
      </c>
      <c r="F24" s="42" t="n">
        <f aca="false">E24*Assumptions!$B$8</f>
        <v>2829.553874496</v>
      </c>
      <c r="G24" s="42" t="n">
        <f aca="false">(E24-F24)*Assumptions!$B$7</f>
        <v>78315.7633485504</v>
      </c>
      <c r="H24" s="42" t="n">
        <f aca="false">(E24-F24-G24)*(1-Assumptions!$B$6)</f>
        <v>0</v>
      </c>
      <c r="I24" s="43" t="n">
        <f aca="false">(E24-F24-G24)*Assumptions!$B$6</f>
        <v>704841.870136954</v>
      </c>
      <c r="J24" s="42" t="n">
        <f aca="false">M23</f>
        <v>0</v>
      </c>
      <c r="K24" s="42" t="n">
        <f aca="false">J24*Assumptions!$B$13</f>
        <v>0</v>
      </c>
      <c r="L24" s="42" t="n">
        <f aca="false">MAX(0,MIN(I24-K24,J24))</f>
        <v>0</v>
      </c>
      <c r="M24" s="42" t="n">
        <f aca="false">MAX(0,J24+K24-I24)</f>
        <v>0</v>
      </c>
      <c r="N24" s="42" t="n">
        <f aca="false">C24*Assumptions!$B$5</f>
        <v>833526.4875</v>
      </c>
    </row>
    <row r="25" customFormat="false" ht="15" hidden="false" customHeight="true" outlineLevel="0" collapsed="false">
      <c r="A25" s="44" t="s">
        <v>166</v>
      </c>
      <c r="C25" s="43" t="n">
        <f aca="false">SUM(C6:C24)</f>
        <v>12385625</v>
      </c>
      <c r="D25" s="43" t="n">
        <f aca="false">SUM(D6:D24)</f>
        <v>11679224</v>
      </c>
      <c r="E25" s="43" t="n">
        <f aca="false">SUM(E6:E24)</f>
        <v>14933756.55984</v>
      </c>
      <c r="F25" s="43" t="n">
        <f aca="false">SUM(F6:F24)</f>
        <v>53761.523615424</v>
      </c>
      <c r="G25" s="43" t="n">
        <f aca="false">SUM(G6:G24)</f>
        <v>1487999.50362246</v>
      </c>
      <c r="H25" s="43" t="n">
        <f aca="false">SUM(H6:H24)</f>
        <v>0</v>
      </c>
      <c r="I25" s="43" t="n">
        <f aca="false">SUM(I6:I24)</f>
        <v>13391995.5326021</v>
      </c>
      <c r="K25" s="43" t="n">
        <f aca="false">SUM(K6:K24)</f>
        <v>2815076.83846277</v>
      </c>
      <c r="L25" s="43" t="n">
        <f aca="false">SUM(L6:L24)</f>
        <v>7269118.57</v>
      </c>
      <c r="N25" s="43" t="n">
        <f aca="false">SUM(N6:N24)</f>
        <v>15837003.2625</v>
      </c>
    </row>
    <row r="27" customFormat="false" ht="15" hidden="false" customHeight="true" outlineLevel="0" collapsed="false">
      <c r="A27" s="44" t="s">
        <v>167</v>
      </c>
      <c r="B27" s="45" t="n">
        <f aca="false">IFERROR(INDEX(A6:A24,MATCH(TRUE(),M6:M24=0,0)),"Not paid off in horizon")</f>
        <v>2040</v>
      </c>
    </row>
    <row r="28" customFormat="false" ht="15" hidden="false" customHeight="true" outlineLevel="0" collapsed="false">
      <c r="A28" s="44" t="s">
        <v>168</v>
      </c>
      <c r="H28" s="44" t="s">
        <v>169</v>
      </c>
      <c r="I28" s="46" t="n">
        <f aca="false">NPV(Assumptions!$B$34,I6:I24)</f>
        <v>8518240.15593281</v>
      </c>
      <c r="M28" s="44" t="s">
        <v>170</v>
      </c>
      <c r="N28" s="46" t="n">
        <f aca="false">NPV(Assumptions!$B$34,N6:N24)</f>
        <v>10073435.0464687</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14" min="2" style="1" width="16"/>
  </cols>
  <sheetData>
    <row r="1" customFormat="false" ht="17.25" hidden="false" customHeight="true" outlineLevel="0" collapsed="false">
      <c r="A1" s="9" t="s">
        <v>172</v>
      </c>
      <c r="B1" s="9"/>
      <c r="C1" s="9"/>
      <c r="D1" s="9"/>
      <c r="E1" s="9"/>
      <c r="F1" s="9"/>
      <c r="G1" s="9"/>
      <c r="H1" s="9"/>
      <c r="I1" s="9"/>
      <c r="J1" s="9"/>
      <c r="K1" s="9"/>
      <c r="L1" s="9"/>
      <c r="M1" s="9"/>
    </row>
    <row r="2" customFormat="false" ht="15" hidden="false" customHeight="true" outlineLevel="0" collapsed="false">
      <c r="A2" s="17" t="s">
        <v>140</v>
      </c>
      <c r="B2" s="17"/>
      <c r="C2" s="17"/>
      <c r="D2" s="17"/>
      <c r="E2" s="17"/>
      <c r="F2" s="17"/>
      <c r="G2" s="17"/>
      <c r="H2" s="17"/>
      <c r="I2" s="17"/>
      <c r="J2" s="17"/>
      <c r="K2" s="17"/>
      <c r="L2" s="17"/>
      <c r="M2" s="17"/>
    </row>
    <row r="4" customFormat="false" ht="30" hidden="false" customHeight="true" outlineLevel="0" collapsed="false">
      <c r="A4" s="18" t="s">
        <v>84</v>
      </c>
      <c r="B4" s="18" t="s">
        <v>141</v>
      </c>
      <c r="C4" s="18" t="s">
        <v>142</v>
      </c>
      <c r="D4" s="18" t="s">
        <v>143</v>
      </c>
      <c r="E4" s="18" t="s">
        <v>144</v>
      </c>
      <c r="F4" s="18" t="s">
        <v>145</v>
      </c>
      <c r="G4" s="18" t="s">
        <v>146</v>
      </c>
      <c r="H4" s="18" t="s">
        <v>147</v>
      </c>
      <c r="I4" s="18" t="s">
        <v>148</v>
      </c>
      <c r="J4" s="18" t="s">
        <v>149</v>
      </c>
      <c r="K4" s="18" t="s">
        <v>150</v>
      </c>
      <c r="L4" s="18" t="s">
        <v>151</v>
      </c>
      <c r="M4" s="18" t="s">
        <v>152</v>
      </c>
      <c r="N4" s="18" t="s">
        <v>153</v>
      </c>
    </row>
    <row r="5" customFormat="false" ht="24" hidden="false" customHeight="true" outlineLevel="0" collapsed="false">
      <c r="A5" s="39"/>
      <c r="B5" s="39" t="s">
        <v>154</v>
      </c>
      <c r="C5" s="39" t="s">
        <v>155</v>
      </c>
      <c r="D5" s="39" t="s">
        <v>156</v>
      </c>
      <c r="E5" s="39" t="s">
        <v>157</v>
      </c>
      <c r="F5" s="39" t="s">
        <v>158</v>
      </c>
      <c r="G5" s="39" t="s">
        <v>159</v>
      </c>
      <c r="H5" s="39" t="s">
        <v>160</v>
      </c>
      <c r="I5" s="39" t="s">
        <v>161</v>
      </c>
      <c r="J5" s="39"/>
      <c r="K5" s="39" t="s">
        <v>162</v>
      </c>
      <c r="L5" s="39" t="s">
        <v>163</v>
      </c>
      <c r="M5" s="39" t="s">
        <v>164</v>
      </c>
      <c r="N5" s="39" t="s">
        <v>165</v>
      </c>
    </row>
    <row r="6" customFormat="false" ht="15" hidden="false" customHeight="true" outlineLevel="0" collapsed="false">
      <c r="A6" s="40" t="n">
        <f aca="false">Inputs_TMV!$A$5</f>
        <v>2026</v>
      </c>
      <c r="B6" s="41" t="n">
        <f aca="false">Inputs_TMV!$D$5</f>
        <v>50000000</v>
      </c>
      <c r="C6" s="42" t="n">
        <f aca="false">B6*Assumptions!$B$4</f>
        <v>625000</v>
      </c>
      <c r="D6" s="42" t="n">
        <f aca="false">MAX(C6-Assumptions!$B$9,0)</f>
        <v>587821</v>
      </c>
      <c r="E6" s="42" t="n">
        <f aca="false">D6*Assumptions!$B$5</f>
        <v>751623.19986</v>
      </c>
      <c r="F6" s="42" t="n">
        <f aca="false">E6*Assumptions!$B$8</f>
        <v>2705.843519496</v>
      </c>
      <c r="G6" s="42" t="n">
        <f aca="false">(E6-F6)*Assumptions!$B$7</f>
        <v>74891.7356340504</v>
      </c>
      <c r="H6" s="42" t="n">
        <f aca="false">(E6-F6-G6)*(1-Assumptions!$B$6)</f>
        <v>0</v>
      </c>
      <c r="I6" s="43" t="n">
        <f aca="false">(E6-F6-G6)*Assumptions!$B$6</f>
        <v>674025.620706454</v>
      </c>
      <c r="J6" s="42" t="n">
        <f aca="false">Assumptions!$B$15</f>
        <v>7269118.57</v>
      </c>
      <c r="K6" s="42" t="n">
        <f aca="false">J6*Assumptions!$B$13</f>
        <v>334379.45422</v>
      </c>
      <c r="L6" s="42" t="n">
        <f aca="false">MAX(0,MIN(I6-K6,J6))</f>
        <v>339646.166486453</v>
      </c>
      <c r="M6" s="42" t="n">
        <f aca="false">MAX(0,J6+K6-I6)</f>
        <v>6929472.40351355</v>
      </c>
      <c r="N6" s="42" t="n">
        <f aca="false">C6*Assumptions!$B$5</f>
        <v>799162.5</v>
      </c>
    </row>
    <row r="7" customFormat="false" ht="15" hidden="false" customHeight="true" outlineLevel="0" collapsed="false">
      <c r="A7" s="40" t="n">
        <f aca="false">Inputs_TMV!$A$6</f>
        <v>2027</v>
      </c>
      <c r="B7" s="41" t="n">
        <f aca="false">Inputs_TMV!$D$6</f>
        <v>50000000</v>
      </c>
      <c r="C7" s="42" t="n">
        <f aca="false">B7*Assumptions!$B$4</f>
        <v>625000</v>
      </c>
      <c r="D7" s="42" t="n">
        <f aca="false">MAX(C7-Assumptions!$B$9,0)</f>
        <v>587821</v>
      </c>
      <c r="E7" s="42" t="n">
        <f aca="false">D7*Assumptions!$B$5</f>
        <v>751623.19986</v>
      </c>
      <c r="F7" s="42" t="n">
        <f aca="false">E7*Assumptions!$B$8</f>
        <v>2705.843519496</v>
      </c>
      <c r="G7" s="42" t="n">
        <f aca="false">(E7-F7)*Assumptions!$B$7</f>
        <v>74891.7356340504</v>
      </c>
      <c r="H7" s="42" t="n">
        <f aca="false">(E7-F7-G7)*(1-Assumptions!$B$6)</f>
        <v>0</v>
      </c>
      <c r="I7" s="43" t="n">
        <f aca="false">(E7-F7-G7)*Assumptions!$B$6</f>
        <v>674025.620706454</v>
      </c>
      <c r="J7" s="42" t="n">
        <f aca="false">M6</f>
        <v>6929472.40351355</v>
      </c>
      <c r="K7" s="42" t="n">
        <f aca="false">J7*Assumptions!$B$13</f>
        <v>318755.730561623</v>
      </c>
      <c r="L7" s="42" t="n">
        <f aca="false">MAX(0,MIN(I7-K7,J7))</f>
        <v>355269.89014483</v>
      </c>
      <c r="M7" s="42" t="n">
        <f aca="false">MAX(0,J7+K7-I7)</f>
        <v>6574202.51336872</v>
      </c>
      <c r="N7" s="42" t="n">
        <f aca="false">C7*Assumptions!$B$5</f>
        <v>799162.5</v>
      </c>
    </row>
    <row r="8" customFormat="false" ht="15" hidden="false" customHeight="true" outlineLevel="0" collapsed="false">
      <c r="A8" s="40" t="n">
        <f aca="false">Inputs_TMV!$A$7</f>
        <v>2028</v>
      </c>
      <c r="B8" s="41" t="n">
        <f aca="false">Inputs_TMV!$D$7</f>
        <v>50000000</v>
      </c>
      <c r="C8" s="42" t="n">
        <f aca="false">B8*Assumptions!$B$4</f>
        <v>625000</v>
      </c>
      <c r="D8" s="42" t="n">
        <f aca="false">MAX(C8-Assumptions!$B$9,0)</f>
        <v>587821</v>
      </c>
      <c r="E8" s="42" t="n">
        <f aca="false">D8*Assumptions!$B$5</f>
        <v>751623.19986</v>
      </c>
      <c r="F8" s="42" t="n">
        <f aca="false">E8*Assumptions!$B$8</f>
        <v>2705.843519496</v>
      </c>
      <c r="G8" s="42" t="n">
        <f aca="false">(E8-F8)*Assumptions!$B$7</f>
        <v>74891.7356340504</v>
      </c>
      <c r="H8" s="42" t="n">
        <f aca="false">(E8-F8-G8)*(1-Assumptions!$B$6)</f>
        <v>0</v>
      </c>
      <c r="I8" s="43" t="n">
        <f aca="false">(E8-F8-G8)*Assumptions!$B$6</f>
        <v>674025.620706454</v>
      </c>
      <c r="J8" s="42" t="n">
        <f aca="false">M7</f>
        <v>6574202.51336872</v>
      </c>
      <c r="K8" s="42" t="n">
        <f aca="false">J8*Assumptions!$B$13</f>
        <v>302413.315614961</v>
      </c>
      <c r="L8" s="42" t="n">
        <f aca="false">MAX(0,MIN(I8-K8,J8))</f>
        <v>371612.305091493</v>
      </c>
      <c r="M8" s="42" t="n">
        <f aca="false">MAX(0,J8+K8-I8)</f>
        <v>6202590.20827722</v>
      </c>
      <c r="N8" s="42" t="n">
        <f aca="false">C8*Assumptions!$B$5</f>
        <v>799162.5</v>
      </c>
    </row>
    <row r="9" customFormat="false" ht="15" hidden="false" customHeight="true" outlineLevel="0" collapsed="false">
      <c r="A9" s="40" t="n">
        <f aca="false">Inputs_TMV!$A$8</f>
        <v>2029</v>
      </c>
      <c r="B9" s="41" t="n">
        <f aca="false">Inputs_TMV!$D$8</f>
        <v>50000000</v>
      </c>
      <c r="C9" s="42" t="n">
        <f aca="false">B9*Assumptions!$B$4</f>
        <v>625000</v>
      </c>
      <c r="D9" s="42" t="n">
        <f aca="false">MAX(C9-Assumptions!$B$9,0)</f>
        <v>587821</v>
      </c>
      <c r="E9" s="42" t="n">
        <f aca="false">D9*Assumptions!$B$5</f>
        <v>751623.19986</v>
      </c>
      <c r="F9" s="42" t="n">
        <f aca="false">E9*Assumptions!$B$8</f>
        <v>2705.843519496</v>
      </c>
      <c r="G9" s="42" t="n">
        <f aca="false">(E9-F9)*Assumptions!$B$7</f>
        <v>74891.7356340504</v>
      </c>
      <c r="H9" s="42" t="n">
        <f aca="false">(E9-F9-G9)*(1-Assumptions!$B$6)</f>
        <v>0</v>
      </c>
      <c r="I9" s="43" t="n">
        <f aca="false">(E9-F9-G9)*Assumptions!$B$6</f>
        <v>674025.620706454</v>
      </c>
      <c r="J9" s="42" t="n">
        <f aca="false">M8</f>
        <v>6202590.20827722</v>
      </c>
      <c r="K9" s="42" t="n">
        <f aca="false">J9*Assumptions!$B$13</f>
        <v>285319.149580752</v>
      </c>
      <c r="L9" s="42" t="n">
        <f aca="false">MAX(0,MIN(I9-K9,J9))</f>
        <v>388706.471125701</v>
      </c>
      <c r="M9" s="42" t="n">
        <f aca="false">MAX(0,J9+K9-I9)</f>
        <v>5813883.73715152</v>
      </c>
      <c r="N9" s="42" t="n">
        <f aca="false">C9*Assumptions!$B$5</f>
        <v>799162.5</v>
      </c>
    </row>
    <row r="10" customFormat="false" ht="15" hidden="false" customHeight="true" outlineLevel="0" collapsed="false">
      <c r="A10" s="40" t="n">
        <f aca="false">Inputs_TMV!$A$9</f>
        <v>2030</v>
      </c>
      <c r="B10" s="41" t="n">
        <f aca="false">Inputs_TMV!$D$9</f>
        <v>50000000</v>
      </c>
      <c r="C10" s="42" t="n">
        <f aca="false">B10*Assumptions!$B$4</f>
        <v>625000</v>
      </c>
      <c r="D10" s="42" t="n">
        <f aca="false">MAX(C10-Assumptions!$B$9,0)</f>
        <v>587821</v>
      </c>
      <c r="E10" s="42" t="n">
        <f aca="false">D10*Assumptions!$B$5</f>
        <v>751623.19986</v>
      </c>
      <c r="F10" s="42" t="n">
        <f aca="false">E10*Assumptions!$B$8</f>
        <v>2705.843519496</v>
      </c>
      <c r="G10" s="42" t="n">
        <f aca="false">(E10-F10)*Assumptions!$B$7</f>
        <v>74891.7356340504</v>
      </c>
      <c r="H10" s="42" t="n">
        <f aca="false">(E10-F10-G10)*(1-Assumptions!$B$6)</f>
        <v>0</v>
      </c>
      <c r="I10" s="43" t="n">
        <f aca="false">(E10-F10-G10)*Assumptions!$B$6</f>
        <v>674025.620706454</v>
      </c>
      <c r="J10" s="42" t="n">
        <f aca="false">M9</f>
        <v>5813883.73715152</v>
      </c>
      <c r="K10" s="42" t="n">
        <f aca="false">J10*Assumptions!$B$13</f>
        <v>267438.65190897</v>
      </c>
      <c r="L10" s="42" t="n">
        <f aca="false">MAX(0,MIN(I10-K10,J10))</f>
        <v>406586.968797483</v>
      </c>
      <c r="M10" s="42" t="n">
        <f aca="false">MAX(0,J10+K10-I10)</f>
        <v>5407296.76835404</v>
      </c>
      <c r="N10" s="42" t="n">
        <f aca="false">C10*Assumptions!$B$5</f>
        <v>799162.5</v>
      </c>
    </row>
    <row r="11" customFormat="false" ht="15" hidden="false" customHeight="true" outlineLevel="0" collapsed="false">
      <c r="A11" s="40" t="n">
        <f aca="false">Inputs_TMV!$A$10</f>
        <v>2031</v>
      </c>
      <c r="B11" s="41" t="n">
        <f aca="false">Inputs_TMV!$D$10</f>
        <v>50000000</v>
      </c>
      <c r="C11" s="42" t="n">
        <f aca="false">B11*Assumptions!$B$4</f>
        <v>625000</v>
      </c>
      <c r="D11" s="42" t="n">
        <f aca="false">MAX(C11-Assumptions!$B$9,0)</f>
        <v>587821</v>
      </c>
      <c r="E11" s="42" t="n">
        <f aca="false">D11*Assumptions!$B$5</f>
        <v>751623.19986</v>
      </c>
      <c r="F11" s="42" t="n">
        <f aca="false">E11*Assumptions!$B$8</f>
        <v>2705.843519496</v>
      </c>
      <c r="G11" s="42" t="n">
        <f aca="false">(E11-F11)*Assumptions!$B$7</f>
        <v>74891.7356340504</v>
      </c>
      <c r="H11" s="42" t="n">
        <f aca="false">(E11-F11-G11)*(1-Assumptions!$B$6)</f>
        <v>0</v>
      </c>
      <c r="I11" s="43" t="n">
        <f aca="false">(E11-F11-G11)*Assumptions!$B$6</f>
        <v>674025.620706454</v>
      </c>
      <c r="J11" s="42" t="n">
        <f aca="false">M10</f>
        <v>5407296.76835404</v>
      </c>
      <c r="K11" s="42" t="n">
        <f aca="false">J11*Assumptions!$B$13</f>
        <v>248735.651344286</v>
      </c>
      <c r="L11" s="42" t="n">
        <f aca="false">MAX(0,MIN(I11-K11,J11))</f>
        <v>425289.969362168</v>
      </c>
      <c r="M11" s="42" t="n">
        <f aca="false">MAX(0,J11+K11-I11)</f>
        <v>4982006.79899187</v>
      </c>
      <c r="N11" s="42" t="n">
        <f aca="false">C11*Assumptions!$B$5</f>
        <v>799162.5</v>
      </c>
    </row>
    <row r="12" customFormat="false" ht="15" hidden="false" customHeight="true" outlineLevel="0" collapsed="false">
      <c r="A12" s="40" t="n">
        <f aca="false">Inputs_TMV!$A$11</f>
        <v>2032</v>
      </c>
      <c r="B12" s="41" t="n">
        <f aca="false">Inputs_TMV!$D$11</f>
        <v>50000000</v>
      </c>
      <c r="C12" s="42" t="n">
        <f aca="false">B12*Assumptions!$B$4</f>
        <v>625000</v>
      </c>
      <c r="D12" s="42" t="n">
        <f aca="false">MAX(C12-Assumptions!$B$9,0)</f>
        <v>587821</v>
      </c>
      <c r="E12" s="42" t="n">
        <f aca="false">D12*Assumptions!$B$5</f>
        <v>751623.19986</v>
      </c>
      <c r="F12" s="42" t="n">
        <f aca="false">E12*Assumptions!$B$8</f>
        <v>2705.843519496</v>
      </c>
      <c r="G12" s="42" t="n">
        <f aca="false">(E12-F12)*Assumptions!$B$7</f>
        <v>74891.7356340504</v>
      </c>
      <c r="H12" s="42" t="n">
        <f aca="false">(E12-F12-G12)*(1-Assumptions!$B$6)</f>
        <v>0</v>
      </c>
      <c r="I12" s="43" t="n">
        <f aca="false">(E12-F12-G12)*Assumptions!$B$6</f>
        <v>674025.620706454</v>
      </c>
      <c r="J12" s="42" t="n">
        <f aca="false">M11</f>
        <v>4982006.79899187</v>
      </c>
      <c r="K12" s="42" t="n">
        <f aca="false">J12*Assumptions!$B$13</f>
        <v>229172.312753626</v>
      </c>
      <c r="L12" s="42" t="n">
        <f aca="false">MAX(0,MIN(I12-K12,J12))</f>
        <v>444853.307952827</v>
      </c>
      <c r="M12" s="42" t="n">
        <f aca="false">MAX(0,J12+K12-I12)</f>
        <v>4537153.49103905</v>
      </c>
      <c r="N12" s="42" t="n">
        <f aca="false">C12*Assumptions!$B$5</f>
        <v>799162.5</v>
      </c>
    </row>
    <row r="13" customFormat="false" ht="15" hidden="false" customHeight="true" outlineLevel="0" collapsed="false">
      <c r="A13" s="40" t="n">
        <f aca="false">Inputs_TMV!$A$12</f>
        <v>2033</v>
      </c>
      <c r="B13" s="41" t="n">
        <f aca="false">Inputs_TMV!$D$12</f>
        <v>50000000</v>
      </c>
      <c r="C13" s="42" t="n">
        <f aca="false">B13*Assumptions!$B$4</f>
        <v>625000</v>
      </c>
      <c r="D13" s="42" t="n">
        <f aca="false">MAX(C13-Assumptions!$B$9,0)</f>
        <v>587821</v>
      </c>
      <c r="E13" s="42" t="n">
        <f aca="false">D13*Assumptions!$B$5</f>
        <v>751623.19986</v>
      </c>
      <c r="F13" s="42" t="n">
        <f aca="false">E13*Assumptions!$B$8</f>
        <v>2705.843519496</v>
      </c>
      <c r="G13" s="42" t="n">
        <f aca="false">(E13-F13)*Assumptions!$B$7</f>
        <v>74891.7356340504</v>
      </c>
      <c r="H13" s="42" t="n">
        <f aca="false">(E13-F13-G13)*(1-Assumptions!$B$6)</f>
        <v>0</v>
      </c>
      <c r="I13" s="43" t="n">
        <f aca="false">(E13-F13-G13)*Assumptions!$B$6</f>
        <v>674025.620706454</v>
      </c>
      <c r="J13" s="42" t="n">
        <f aca="false">M12</f>
        <v>4537153.49103905</v>
      </c>
      <c r="K13" s="42" t="n">
        <f aca="false">J13*Assumptions!$B$13</f>
        <v>208709.060587796</v>
      </c>
      <c r="L13" s="42" t="n">
        <f aca="false">MAX(0,MIN(I13-K13,J13))</f>
        <v>465316.560118657</v>
      </c>
      <c r="M13" s="42" t="n">
        <f aca="false">MAX(0,J13+K13-I13)</f>
        <v>4071836.93092039</v>
      </c>
      <c r="N13" s="42" t="n">
        <f aca="false">C13*Assumptions!$B$5</f>
        <v>799162.5</v>
      </c>
    </row>
    <row r="14" customFormat="false" ht="15" hidden="false" customHeight="true" outlineLevel="0" collapsed="false">
      <c r="A14" s="40" t="n">
        <f aca="false">Inputs_TMV!$A$13</f>
        <v>2034</v>
      </c>
      <c r="B14" s="41" t="n">
        <f aca="false">Inputs_TMV!$D$13</f>
        <v>50000000</v>
      </c>
      <c r="C14" s="42" t="n">
        <f aca="false">B14*Assumptions!$B$4</f>
        <v>625000</v>
      </c>
      <c r="D14" s="42" t="n">
        <f aca="false">MAX(C14-Assumptions!$B$9,0)</f>
        <v>587821</v>
      </c>
      <c r="E14" s="42" t="n">
        <f aca="false">D14*Assumptions!$B$5</f>
        <v>751623.19986</v>
      </c>
      <c r="F14" s="42" t="n">
        <f aca="false">E14*Assumptions!$B$8</f>
        <v>2705.843519496</v>
      </c>
      <c r="G14" s="42" t="n">
        <f aca="false">(E14-F14)*Assumptions!$B$7</f>
        <v>74891.7356340504</v>
      </c>
      <c r="H14" s="42" t="n">
        <f aca="false">(E14-F14-G14)*(1-Assumptions!$B$6)</f>
        <v>0</v>
      </c>
      <c r="I14" s="43" t="n">
        <f aca="false">(E14-F14-G14)*Assumptions!$B$6</f>
        <v>674025.620706454</v>
      </c>
      <c r="J14" s="42" t="n">
        <f aca="false">M13</f>
        <v>4071836.93092039</v>
      </c>
      <c r="K14" s="42" t="n">
        <f aca="false">J14*Assumptions!$B$13</f>
        <v>187304.498822338</v>
      </c>
      <c r="L14" s="42" t="n">
        <f aca="false">MAX(0,MIN(I14-K14,J14))</f>
        <v>486721.121884116</v>
      </c>
      <c r="M14" s="42" t="n">
        <f aca="false">MAX(0,J14+K14-I14)</f>
        <v>3585115.80903627</v>
      </c>
      <c r="N14" s="42" t="n">
        <f aca="false">C14*Assumptions!$B$5</f>
        <v>799162.5</v>
      </c>
    </row>
    <row r="15" customFormat="false" ht="15" hidden="false" customHeight="true" outlineLevel="0" collapsed="false">
      <c r="A15" s="40" t="n">
        <f aca="false">Inputs_TMV!$A$14</f>
        <v>2035</v>
      </c>
      <c r="B15" s="41" t="n">
        <f aca="false">Inputs_TMV!$D$14</f>
        <v>50000000</v>
      </c>
      <c r="C15" s="42" t="n">
        <f aca="false">B15*Assumptions!$B$4</f>
        <v>625000</v>
      </c>
      <c r="D15" s="42" t="n">
        <f aca="false">MAX(C15-Assumptions!$B$9,0)</f>
        <v>587821</v>
      </c>
      <c r="E15" s="42" t="n">
        <f aca="false">D15*Assumptions!$B$5</f>
        <v>751623.19986</v>
      </c>
      <c r="F15" s="42" t="n">
        <f aca="false">E15*Assumptions!$B$8</f>
        <v>2705.843519496</v>
      </c>
      <c r="G15" s="42" t="n">
        <f aca="false">(E15-F15)*Assumptions!$B$7</f>
        <v>74891.7356340504</v>
      </c>
      <c r="H15" s="42" t="n">
        <f aca="false">(E15-F15-G15)*(1-Assumptions!$B$6)</f>
        <v>0</v>
      </c>
      <c r="I15" s="43" t="n">
        <f aca="false">(E15-F15-G15)*Assumptions!$B$6</f>
        <v>674025.620706454</v>
      </c>
      <c r="J15" s="42" t="n">
        <f aca="false">M14</f>
        <v>3585115.80903627</v>
      </c>
      <c r="K15" s="42" t="n">
        <f aca="false">J15*Assumptions!$B$13</f>
        <v>164915.327215669</v>
      </c>
      <c r="L15" s="42" t="n">
        <f aca="false">MAX(0,MIN(I15-K15,J15))</f>
        <v>509110.293490785</v>
      </c>
      <c r="M15" s="42" t="n">
        <f aca="false">MAX(0,J15+K15-I15)</f>
        <v>3076005.51554549</v>
      </c>
      <c r="N15" s="42" t="n">
        <f aca="false">C15*Assumptions!$B$5</f>
        <v>799162.5</v>
      </c>
    </row>
    <row r="16" customFormat="false" ht="15" hidden="false" customHeight="true" outlineLevel="0" collapsed="false">
      <c r="A16" s="40" t="n">
        <f aca="false">Inputs_TMV!$A$15</f>
        <v>2036</v>
      </c>
      <c r="B16" s="41" t="n">
        <f aca="false">Inputs_TMV!$D$15</f>
        <v>50000000</v>
      </c>
      <c r="C16" s="42" t="n">
        <f aca="false">B16*Assumptions!$B$4</f>
        <v>625000</v>
      </c>
      <c r="D16" s="42" t="n">
        <f aca="false">MAX(C16-Assumptions!$B$9,0)</f>
        <v>587821</v>
      </c>
      <c r="E16" s="42" t="n">
        <f aca="false">D16*Assumptions!$B$5</f>
        <v>751623.19986</v>
      </c>
      <c r="F16" s="42" t="n">
        <f aca="false">E16*Assumptions!$B$8</f>
        <v>2705.843519496</v>
      </c>
      <c r="G16" s="42" t="n">
        <f aca="false">(E16-F16)*Assumptions!$B$7</f>
        <v>74891.7356340504</v>
      </c>
      <c r="H16" s="42" t="n">
        <f aca="false">(E16-F16-G16)*(1-Assumptions!$B$6)</f>
        <v>0</v>
      </c>
      <c r="I16" s="43" t="n">
        <f aca="false">(E16-F16-G16)*Assumptions!$B$6</f>
        <v>674025.620706454</v>
      </c>
      <c r="J16" s="42" t="n">
        <f aca="false">M15</f>
        <v>3076005.51554549</v>
      </c>
      <c r="K16" s="42" t="n">
        <f aca="false">J16*Assumptions!$B$13</f>
        <v>141496.253715092</v>
      </c>
      <c r="L16" s="42" t="n">
        <f aca="false">MAX(0,MIN(I16-K16,J16))</f>
        <v>532529.366991361</v>
      </c>
      <c r="M16" s="42" t="n">
        <f aca="false">MAX(0,J16+K16-I16)</f>
        <v>2543476.14855413</v>
      </c>
      <c r="N16" s="42" t="n">
        <f aca="false">C16*Assumptions!$B$5</f>
        <v>799162.5</v>
      </c>
    </row>
    <row r="17" customFormat="false" ht="15" hidden="false" customHeight="true" outlineLevel="0" collapsed="false">
      <c r="A17" s="40" t="n">
        <f aca="false">Inputs_TMV!$A$16</f>
        <v>2037</v>
      </c>
      <c r="B17" s="41" t="n">
        <f aca="false">Inputs_TMV!$D$16</f>
        <v>50000000</v>
      </c>
      <c r="C17" s="42" t="n">
        <f aca="false">B17*Assumptions!$B$4</f>
        <v>625000</v>
      </c>
      <c r="D17" s="42" t="n">
        <f aca="false">MAX(C17-Assumptions!$B$9,0)</f>
        <v>587821</v>
      </c>
      <c r="E17" s="42" t="n">
        <f aca="false">D17*Assumptions!$B$5</f>
        <v>751623.19986</v>
      </c>
      <c r="F17" s="42" t="n">
        <f aca="false">E17*Assumptions!$B$8</f>
        <v>2705.843519496</v>
      </c>
      <c r="G17" s="42" t="n">
        <f aca="false">(E17-F17)*Assumptions!$B$7</f>
        <v>74891.7356340504</v>
      </c>
      <c r="H17" s="42" t="n">
        <f aca="false">(E17-F17-G17)*(1-Assumptions!$B$6)</f>
        <v>0</v>
      </c>
      <c r="I17" s="43" t="n">
        <f aca="false">(E17-F17-G17)*Assumptions!$B$6</f>
        <v>674025.620706454</v>
      </c>
      <c r="J17" s="42" t="n">
        <f aca="false">M16</f>
        <v>2543476.14855413</v>
      </c>
      <c r="K17" s="42" t="n">
        <f aca="false">J17*Assumptions!$B$13</f>
        <v>116999.90283349</v>
      </c>
      <c r="L17" s="42" t="n">
        <f aca="false">MAX(0,MIN(I17-K17,J17))</f>
        <v>557025.717872964</v>
      </c>
      <c r="M17" s="42" t="n">
        <f aca="false">MAX(0,J17+K17-I17)</f>
        <v>1986450.43068116</v>
      </c>
      <c r="N17" s="42" t="n">
        <f aca="false">C17*Assumptions!$B$5</f>
        <v>799162.5</v>
      </c>
    </row>
    <row r="18" customFormat="false" ht="15" hidden="false" customHeight="true" outlineLevel="0" collapsed="false">
      <c r="A18" s="40" t="n">
        <f aca="false">Inputs_TMV!$A$17</f>
        <v>2038</v>
      </c>
      <c r="B18" s="41" t="n">
        <f aca="false">Inputs_TMV!$D$17</f>
        <v>50000000</v>
      </c>
      <c r="C18" s="42" t="n">
        <f aca="false">B18*Assumptions!$B$4</f>
        <v>625000</v>
      </c>
      <c r="D18" s="42" t="n">
        <f aca="false">MAX(C18-Assumptions!$B$9,0)</f>
        <v>587821</v>
      </c>
      <c r="E18" s="42" t="n">
        <f aca="false">D18*Assumptions!$B$5</f>
        <v>751623.19986</v>
      </c>
      <c r="F18" s="42" t="n">
        <f aca="false">E18*Assumptions!$B$8</f>
        <v>2705.843519496</v>
      </c>
      <c r="G18" s="42" t="n">
        <f aca="false">(E18-F18)*Assumptions!$B$7</f>
        <v>74891.7356340504</v>
      </c>
      <c r="H18" s="42" t="n">
        <f aca="false">(E18-F18-G18)*(1-Assumptions!$B$6)</f>
        <v>0</v>
      </c>
      <c r="I18" s="43" t="n">
        <f aca="false">(E18-F18-G18)*Assumptions!$B$6</f>
        <v>674025.620706454</v>
      </c>
      <c r="J18" s="42" t="n">
        <f aca="false">M17</f>
        <v>1986450.43068116</v>
      </c>
      <c r="K18" s="42" t="n">
        <f aca="false">J18*Assumptions!$B$13</f>
        <v>91376.7198113335</v>
      </c>
      <c r="L18" s="42" t="n">
        <f aca="false">MAX(0,MIN(I18-K18,J18))</f>
        <v>582648.90089512</v>
      </c>
      <c r="M18" s="42" t="n">
        <f aca="false">MAX(0,J18+K18-I18)</f>
        <v>1403801.52978604</v>
      </c>
      <c r="N18" s="42" t="n">
        <f aca="false">C18*Assumptions!$B$5</f>
        <v>799162.5</v>
      </c>
    </row>
    <row r="19" customFormat="false" ht="15" hidden="false" customHeight="true" outlineLevel="0" collapsed="false">
      <c r="A19" s="40" t="n">
        <f aca="false">Inputs_TMV!$A$18</f>
        <v>2039</v>
      </c>
      <c r="B19" s="41" t="n">
        <f aca="false">Inputs_TMV!$D$18</f>
        <v>50000000</v>
      </c>
      <c r="C19" s="42" t="n">
        <f aca="false">B19*Assumptions!$B$4</f>
        <v>625000</v>
      </c>
      <c r="D19" s="42" t="n">
        <f aca="false">MAX(C19-Assumptions!$B$9,0)</f>
        <v>587821</v>
      </c>
      <c r="E19" s="42" t="n">
        <f aca="false">D19*Assumptions!$B$5</f>
        <v>751623.19986</v>
      </c>
      <c r="F19" s="42" t="n">
        <f aca="false">E19*Assumptions!$B$8</f>
        <v>2705.843519496</v>
      </c>
      <c r="G19" s="42" t="n">
        <f aca="false">(E19-F19)*Assumptions!$B$7</f>
        <v>74891.7356340504</v>
      </c>
      <c r="H19" s="42" t="n">
        <f aca="false">(E19-F19-G19)*(1-Assumptions!$B$6)</f>
        <v>0</v>
      </c>
      <c r="I19" s="43" t="n">
        <f aca="false">(E19-F19-G19)*Assumptions!$B$6</f>
        <v>674025.620706454</v>
      </c>
      <c r="J19" s="42" t="n">
        <f aca="false">M18</f>
        <v>1403801.52978604</v>
      </c>
      <c r="K19" s="42" t="n">
        <f aca="false">J19*Assumptions!$B$13</f>
        <v>64574.8703701579</v>
      </c>
      <c r="L19" s="42" t="n">
        <f aca="false">MAX(0,MIN(I19-K19,J19))</f>
        <v>609450.750336296</v>
      </c>
      <c r="M19" s="42" t="n">
        <f aca="false">MAX(0,J19+K19-I19)</f>
        <v>794350.779449747</v>
      </c>
      <c r="N19" s="42" t="n">
        <f aca="false">C19*Assumptions!$B$5</f>
        <v>799162.5</v>
      </c>
    </row>
    <row r="20" customFormat="false" ht="15" hidden="false" customHeight="true" outlineLevel="0" collapsed="false">
      <c r="A20" s="40" t="n">
        <f aca="false">Inputs_TMV!$A$19</f>
        <v>2040</v>
      </c>
      <c r="B20" s="41" t="n">
        <f aca="false">Inputs_TMV!$D$19</f>
        <v>50000000</v>
      </c>
      <c r="C20" s="42" t="n">
        <f aca="false">B20*Assumptions!$B$4</f>
        <v>625000</v>
      </c>
      <c r="D20" s="42" t="n">
        <f aca="false">MAX(C20-Assumptions!$B$9,0)</f>
        <v>587821</v>
      </c>
      <c r="E20" s="42" t="n">
        <f aca="false">D20*Assumptions!$B$5</f>
        <v>751623.19986</v>
      </c>
      <c r="F20" s="42" t="n">
        <f aca="false">E20*Assumptions!$B$8</f>
        <v>2705.843519496</v>
      </c>
      <c r="G20" s="42" t="n">
        <f aca="false">(E20-F20)*Assumptions!$B$7</f>
        <v>74891.7356340504</v>
      </c>
      <c r="H20" s="42" t="n">
        <f aca="false">(E20-F20-G20)*(1-Assumptions!$B$6)</f>
        <v>0</v>
      </c>
      <c r="I20" s="43" t="n">
        <f aca="false">(E20-F20-G20)*Assumptions!$B$6</f>
        <v>674025.620706454</v>
      </c>
      <c r="J20" s="42" t="n">
        <f aca="false">M19</f>
        <v>794350.779449747</v>
      </c>
      <c r="K20" s="42" t="n">
        <f aca="false">J20*Assumptions!$B$13</f>
        <v>36540.1358546883</v>
      </c>
      <c r="L20" s="42" t="n">
        <f aca="false">MAX(0,MIN(I20-K20,J20))</f>
        <v>637485.484851765</v>
      </c>
      <c r="M20" s="42" t="n">
        <f aca="false">MAX(0,J20+K20-I20)</f>
        <v>156865.294597981</v>
      </c>
      <c r="N20" s="42" t="n">
        <f aca="false">C20*Assumptions!$B$5</f>
        <v>799162.5</v>
      </c>
    </row>
    <row r="21" customFormat="false" ht="15" hidden="false" customHeight="true" outlineLevel="0" collapsed="false">
      <c r="A21" s="40" t="n">
        <f aca="false">Inputs_TMV!$A$20</f>
        <v>2041</v>
      </c>
      <c r="B21" s="41" t="n">
        <f aca="false">Inputs_TMV!$D$20</f>
        <v>50000000</v>
      </c>
      <c r="C21" s="42" t="n">
        <f aca="false">B21*Assumptions!$B$4</f>
        <v>625000</v>
      </c>
      <c r="D21" s="42" t="n">
        <f aca="false">MAX(C21-Assumptions!$B$9,0)</f>
        <v>587821</v>
      </c>
      <c r="E21" s="42" t="n">
        <f aca="false">D21*Assumptions!$B$5</f>
        <v>751623.19986</v>
      </c>
      <c r="F21" s="42" t="n">
        <f aca="false">E21*Assumptions!$B$8</f>
        <v>2705.843519496</v>
      </c>
      <c r="G21" s="42" t="n">
        <f aca="false">(E21-F21)*Assumptions!$B$7</f>
        <v>74891.7356340504</v>
      </c>
      <c r="H21" s="42" t="n">
        <f aca="false">(E21-F21-G21)*(1-Assumptions!$B$6)</f>
        <v>0</v>
      </c>
      <c r="I21" s="43" t="n">
        <f aca="false">(E21-F21-G21)*Assumptions!$B$6</f>
        <v>674025.620706454</v>
      </c>
      <c r="J21" s="42" t="n">
        <f aca="false">M20</f>
        <v>156865.294597981</v>
      </c>
      <c r="K21" s="42" t="n">
        <f aca="false">J21*Assumptions!$B$13</f>
        <v>7215.80355150714</v>
      </c>
      <c r="L21" s="42" t="n">
        <f aca="false">MAX(0,MIN(I21-K21,J21))</f>
        <v>156865.294597981</v>
      </c>
      <c r="M21" s="42" t="n">
        <f aca="false">MAX(0,J21+K21-I21)</f>
        <v>0</v>
      </c>
      <c r="N21" s="42" t="n">
        <f aca="false">C21*Assumptions!$B$5</f>
        <v>799162.5</v>
      </c>
    </row>
    <row r="22" customFormat="false" ht="15" hidden="false" customHeight="true" outlineLevel="0" collapsed="false">
      <c r="A22" s="40" t="n">
        <f aca="false">Inputs_TMV!$A$21</f>
        <v>2042</v>
      </c>
      <c r="B22" s="41" t="n">
        <f aca="false">Inputs_TMV!$D$21</f>
        <v>50000000</v>
      </c>
      <c r="C22" s="42" t="n">
        <f aca="false">B22*Assumptions!$B$4</f>
        <v>625000</v>
      </c>
      <c r="D22" s="42" t="n">
        <f aca="false">MAX(C22-Assumptions!$B$9,0)</f>
        <v>587821</v>
      </c>
      <c r="E22" s="42" t="n">
        <f aca="false">D22*Assumptions!$B$5</f>
        <v>751623.19986</v>
      </c>
      <c r="F22" s="42" t="n">
        <f aca="false">E22*Assumptions!$B$8</f>
        <v>2705.843519496</v>
      </c>
      <c r="G22" s="42" t="n">
        <f aca="false">(E22-F22)*Assumptions!$B$7</f>
        <v>74891.7356340504</v>
      </c>
      <c r="H22" s="42" t="n">
        <f aca="false">(E22-F22-G22)*(1-Assumptions!$B$6)</f>
        <v>0</v>
      </c>
      <c r="I22" s="43" t="n">
        <f aca="false">(E22-F22-G22)*Assumptions!$B$6</f>
        <v>674025.620706454</v>
      </c>
      <c r="J22" s="42" t="n">
        <f aca="false">M21</f>
        <v>0</v>
      </c>
      <c r="K22" s="42" t="n">
        <f aca="false">J22*Assumptions!$B$13</f>
        <v>0</v>
      </c>
      <c r="L22" s="42" t="n">
        <f aca="false">MAX(0,MIN(I22-K22,J22))</f>
        <v>0</v>
      </c>
      <c r="M22" s="42" t="n">
        <f aca="false">MAX(0,J22+K22-I22)</f>
        <v>0</v>
      </c>
      <c r="N22" s="42" t="n">
        <f aca="false">C22*Assumptions!$B$5</f>
        <v>799162.5</v>
      </c>
    </row>
    <row r="23" customFormat="false" ht="15" hidden="false" customHeight="true" outlineLevel="0" collapsed="false">
      <c r="A23" s="40" t="n">
        <f aca="false">Inputs_TMV!$A$22</f>
        <v>2043</v>
      </c>
      <c r="B23" s="41" t="n">
        <f aca="false">Inputs_TMV!$D$22</f>
        <v>50000000</v>
      </c>
      <c r="C23" s="42" t="n">
        <f aca="false">B23*Assumptions!$B$4</f>
        <v>625000</v>
      </c>
      <c r="D23" s="42" t="n">
        <f aca="false">MAX(C23-Assumptions!$B$9,0)</f>
        <v>587821</v>
      </c>
      <c r="E23" s="42" t="n">
        <f aca="false">D23*Assumptions!$B$5</f>
        <v>751623.19986</v>
      </c>
      <c r="F23" s="42" t="n">
        <f aca="false">E23*Assumptions!$B$8</f>
        <v>2705.843519496</v>
      </c>
      <c r="G23" s="42" t="n">
        <f aca="false">(E23-F23)*Assumptions!$B$7</f>
        <v>74891.7356340504</v>
      </c>
      <c r="H23" s="42" t="n">
        <f aca="false">(E23-F23-G23)*(1-Assumptions!$B$6)</f>
        <v>0</v>
      </c>
      <c r="I23" s="43" t="n">
        <f aca="false">(E23-F23-G23)*Assumptions!$B$6</f>
        <v>674025.620706454</v>
      </c>
      <c r="J23" s="42" t="n">
        <f aca="false">M22</f>
        <v>0</v>
      </c>
      <c r="K23" s="42" t="n">
        <f aca="false">J23*Assumptions!$B$13</f>
        <v>0</v>
      </c>
      <c r="L23" s="42" t="n">
        <f aca="false">MAX(0,MIN(I23-K23,J23))</f>
        <v>0</v>
      </c>
      <c r="M23" s="42" t="n">
        <f aca="false">MAX(0,J23+K23-I23)</f>
        <v>0</v>
      </c>
      <c r="N23" s="42" t="n">
        <f aca="false">C23*Assumptions!$B$5</f>
        <v>799162.5</v>
      </c>
    </row>
    <row r="24" customFormat="false" ht="15" hidden="false" customHeight="true" outlineLevel="0" collapsed="false">
      <c r="A24" s="40" t="n">
        <f aca="false">Inputs_TMV!$A$23</f>
        <v>2044</v>
      </c>
      <c r="B24" s="41" t="n">
        <f aca="false">Inputs_TMV!$D$23</f>
        <v>50000000</v>
      </c>
      <c r="C24" s="42" t="n">
        <f aca="false">B24*Assumptions!$B$4</f>
        <v>625000</v>
      </c>
      <c r="D24" s="42" t="n">
        <f aca="false">MAX(C24-Assumptions!$B$9,0)</f>
        <v>587821</v>
      </c>
      <c r="E24" s="42" t="n">
        <f aca="false">D24*Assumptions!$B$5</f>
        <v>751623.19986</v>
      </c>
      <c r="F24" s="42" t="n">
        <f aca="false">E24*Assumptions!$B$8</f>
        <v>2705.843519496</v>
      </c>
      <c r="G24" s="42" t="n">
        <f aca="false">(E24-F24)*Assumptions!$B$7</f>
        <v>74891.7356340504</v>
      </c>
      <c r="H24" s="42" t="n">
        <f aca="false">(E24-F24-G24)*(1-Assumptions!$B$6)</f>
        <v>0</v>
      </c>
      <c r="I24" s="43" t="n">
        <f aca="false">(E24-F24-G24)*Assumptions!$B$6</f>
        <v>674025.620706454</v>
      </c>
      <c r="J24" s="42" t="n">
        <f aca="false">M23</f>
        <v>0</v>
      </c>
      <c r="K24" s="42" t="n">
        <f aca="false">J24*Assumptions!$B$13</f>
        <v>0</v>
      </c>
      <c r="L24" s="42" t="n">
        <f aca="false">MAX(0,MIN(I24-K24,J24))</f>
        <v>0</v>
      </c>
      <c r="M24" s="42" t="n">
        <f aca="false">MAX(0,J24+K24-I24)</f>
        <v>0</v>
      </c>
      <c r="N24" s="42" t="n">
        <f aca="false">C24*Assumptions!$B$5</f>
        <v>799162.5</v>
      </c>
    </row>
    <row r="25" customFormat="false" ht="15" hidden="false" customHeight="true" outlineLevel="0" collapsed="false">
      <c r="A25" s="44" t="s">
        <v>166</v>
      </c>
      <c r="C25" s="43" t="n">
        <f aca="false">SUM(C6:C24)</f>
        <v>11875000</v>
      </c>
      <c r="D25" s="43" t="n">
        <f aca="false">SUM(D6:D24)</f>
        <v>11168599</v>
      </c>
      <c r="E25" s="43" t="n">
        <f aca="false">SUM(E6:E24)</f>
        <v>14280840.79734</v>
      </c>
      <c r="F25" s="43" t="n">
        <f aca="false">SUM(F6:F24)</f>
        <v>51411.026870424</v>
      </c>
      <c r="G25" s="43" t="n">
        <f aca="false">SUM(G6:G24)</f>
        <v>1422942.97704696</v>
      </c>
      <c r="H25" s="43" t="n">
        <f aca="false">SUM(H6:H24)</f>
        <v>0</v>
      </c>
      <c r="I25" s="43" t="n">
        <f aca="false">SUM(I6:I24)</f>
        <v>12806486.7934226</v>
      </c>
      <c r="K25" s="43" t="n">
        <f aca="false">SUM(K6:K24)</f>
        <v>3005346.83874629</v>
      </c>
      <c r="L25" s="43" t="n">
        <f aca="false">SUM(L6:L24)</f>
        <v>7269118.57</v>
      </c>
      <c r="N25" s="43" t="n">
        <f aca="false">SUM(N6:N24)</f>
        <v>15184087.5</v>
      </c>
    </row>
    <row r="27" customFormat="false" ht="15" hidden="false" customHeight="true" outlineLevel="0" collapsed="false">
      <c r="A27" s="44" t="s">
        <v>167</v>
      </c>
      <c r="B27" s="45" t="n">
        <f aca="false">IFERROR(INDEX(A6:A24,MATCH(TRUE(),M6:M24=0,0)),"Not paid off in horizon")</f>
        <v>2041</v>
      </c>
    </row>
    <row r="28" customFormat="false" ht="15" hidden="false" customHeight="true" outlineLevel="0" collapsed="false">
      <c r="A28" s="44" t="s">
        <v>168</v>
      </c>
      <c r="H28" s="44" t="s">
        <v>169</v>
      </c>
      <c r="I28" s="46" t="n">
        <f aca="false">NPV(Assumptions!$B$34,I6:I24)</f>
        <v>8145815.89387369</v>
      </c>
      <c r="M28" s="44" t="s">
        <v>170</v>
      </c>
      <c r="N28" s="46" t="n">
        <f aca="false">NPV(Assumptions!$B$34,N6:N24)</f>
        <v>9658135.23151361</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14" min="2" style="1" width="16"/>
  </cols>
  <sheetData>
    <row r="1" customFormat="false" ht="17.25" hidden="false" customHeight="true" outlineLevel="0" collapsed="false">
      <c r="A1" s="9" t="s">
        <v>173</v>
      </c>
      <c r="B1" s="9"/>
      <c r="C1" s="9"/>
      <c r="D1" s="9"/>
      <c r="E1" s="9"/>
      <c r="F1" s="9"/>
      <c r="G1" s="9"/>
      <c r="H1" s="9"/>
      <c r="I1" s="9"/>
      <c r="J1" s="9"/>
      <c r="K1" s="9"/>
      <c r="L1" s="9"/>
      <c r="M1" s="9"/>
    </row>
    <row r="2" customFormat="false" ht="15" hidden="false" customHeight="true" outlineLevel="0" collapsed="false">
      <c r="A2" s="17" t="s">
        <v>140</v>
      </c>
      <c r="B2" s="17"/>
      <c r="C2" s="17"/>
      <c r="D2" s="17"/>
      <c r="E2" s="17"/>
      <c r="F2" s="17"/>
      <c r="G2" s="17"/>
      <c r="H2" s="17"/>
      <c r="I2" s="17"/>
      <c r="J2" s="17"/>
      <c r="K2" s="17"/>
      <c r="L2" s="17"/>
      <c r="M2" s="17"/>
    </row>
    <row r="4" customFormat="false" ht="30" hidden="false" customHeight="true" outlineLevel="0" collapsed="false">
      <c r="A4" s="18" t="s">
        <v>84</v>
      </c>
      <c r="B4" s="18" t="s">
        <v>141</v>
      </c>
      <c r="C4" s="18" t="s">
        <v>142</v>
      </c>
      <c r="D4" s="18" t="s">
        <v>143</v>
      </c>
      <c r="E4" s="18" t="s">
        <v>144</v>
      </c>
      <c r="F4" s="18" t="s">
        <v>145</v>
      </c>
      <c r="G4" s="18" t="s">
        <v>146</v>
      </c>
      <c r="H4" s="18" t="s">
        <v>147</v>
      </c>
      <c r="I4" s="18" t="s">
        <v>148</v>
      </c>
      <c r="J4" s="18" t="s">
        <v>149</v>
      </c>
      <c r="K4" s="18" t="s">
        <v>150</v>
      </c>
      <c r="L4" s="18" t="s">
        <v>151</v>
      </c>
      <c r="M4" s="18" t="s">
        <v>152</v>
      </c>
      <c r="N4" s="18" t="s">
        <v>153</v>
      </c>
    </row>
    <row r="5" customFormat="false" ht="24" hidden="false" customHeight="true" outlineLevel="0" collapsed="false">
      <c r="A5" s="39"/>
      <c r="B5" s="39" t="s">
        <v>154</v>
      </c>
      <c r="C5" s="39" t="s">
        <v>155</v>
      </c>
      <c r="D5" s="39" t="s">
        <v>156</v>
      </c>
      <c r="E5" s="39" t="s">
        <v>157</v>
      </c>
      <c r="F5" s="39" t="s">
        <v>158</v>
      </c>
      <c r="G5" s="39" t="s">
        <v>159</v>
      </c>
      <c r="H5" s="39" t="s">
        <v>160</v>
      </c>
      <c r="I5" s="39" t="s">
        <v>161</v>
      </c>
      <c r="J5" s="39"/>
      <c r="K5" s="39" t="s">
        <v>162</v>
      </c>
      <c r="L5" s="39" t="s">
        <v>163</v>
      </c>
      <c r="M5" s="39" t="s">
        <v>164</v>
      </c>
      <c r="N5" s="39" t="s">
        <v>165</v>
      </c>
    </row>
    <row r="6" customFormat="false" ht="15" hidden="false" customHeight="true" outlineLevel="0" collapsed="false">
      <c r="A6" s="40" t="n">
        <f aca="false">Inputs_TMV!$A$5</f>
        <v>2026</v>
      </c>
      <c r="B6" s="41" t="n">
        <f aca="false">Inputs_TMV!$E$5</f>
        <v>43835000</v>
      </c>
      <c r="C6" s="42" t="n">
        <f aca="false">B6*Assumptions!$B$4</f>
        <v>547937.5</v>
      </c>
      <c r="D6" s="42" t="n">
        <f aca="false">MAX(C6-Assumptions!$B$9,0)</f>
        <v>510758.5</v>
      </c>
      <c r="E6" s="42" t="n">
        <f aca="false">D6*Assumptions!$B$5</f>
        <v>653086.46361</v>
      </c>
      <c r="F6" s="42" t="n">
        <f aca="false">E6*Assumptions!$B$8</f>
        <v>2351.111268996</v>
      </c>
      <c r="G6" s="42" t="n">
        <f aca="false">(E6-F6)*Assumptions!$B$7</f>
        <v>65073.5352341004</v>
      </c>
      <c r="H6" s="42" t="n">
        <f aca="false">(E6-F6-G6)*(1-Assumptions!$B$6)</f>
        <v>0</v>
      </c>
      <c r="I6" s="43" t="n">
        <f aca="false">(E6-F6-G6)*Assumptions!$B$6</f>
        <v>585661.817106904</v>
      </c>
      <c r="J6" s="42" t="n">
        <f aca="false">Assumptions!$B$15</f>
        <v>7269118.57</v>
      </c>
      <c r="K6" s="42" t="n">
        <f aca="false">J6*Assumptions!$B$13</f>
        <v>334379.45422</v>
      </c>
      <c r="L6" s="42" t="n">
        <f aca="false">MAX(0,MIN(I6-K6,J6))</f>
        <v>251282.362886904</v>
      </c>
      <c r="M6" s="42" t="n">
        <f aca="false">MAX(0,J6+K6-I6)</f>
        <v>7017836.2071131</v>
      </c>
      <c r="N6" s="42" t="n">
        <f aca="false">C6*Assumptions!$B$5</f>
        <v>700625.76375</v>
      </c>
    </row>
    <row r="7" customFormat="false" ht="15" hidden="false" customHeight="true" outlineLevel="0" collapsed="false">
      <c r="A7" s="40" t="n">
        <f aca="false">Inputs_TMV!$A$6</f>
        <v>2027</v>
      </c>
      <c r="B7" s="41" t="n">
        <f aca="false">Inputs_TMV!$E$6</f>
        <v>43835000</v>
      </c>
      <c r="C7" s="42" t="n">
        <f aca="false">B7*Assumptions!$B$4</f>
        <v>547937.5</v>
      </c>
      <c r="D7" s="42" t="n">
        <f aca="false">MAX(C7-Assumptions!$B$9,0)</f>
        <v>510758.5</v>
      </c>
      <c r="E7" s="42" t="n">
        <f aca="false">D7*Assumptions!$B$5</f>
        <v>653086.46361</v>
      </c>
      <c r="F7" s="42" t="n">
        <f aca="false">E7*Assumptions!$B$8</f>
        <v>2351.111268996</v>
      </c>
      <c r="G7" s="42" t="n">
        <f aca="false">(E7-F7)*Assumptions!$B$7</f>
        <v>65073.5352341004</v>
      </c>
      <c r="H7" s="42" t="n">
        <f aca="false">(E7-F7-G7)*(1-Assumptions!$B$6)</f>
        <v>0</v>
      </c>
      <c r="I7" s="43" t="n">
        <f aca="false">(E7-F7-G7)*Assumptions!$B$6</f>
        <v>585661.817106904</v>
      </c>
      <c r="J7" s="42" t="n">
        <f aca="false">M6</f>
        <v>7017836.2071131</v>
      </c>
      <c r="K7" s="42" t="n">
        <f aca="false">J7*Assumptions!$B$13</f>
        <v>322820.465527202</v>
      </c>
      <c r="L7" s="42" t="n">
        <f aca="false">MAX(0,MIN(I7-K7,J7))</f>
        <v>262841.351579701</v>
      </c>
      <c r="M7" s="42" t="n">
        <f aca="false">MAX(0,J7+K7-I7)</f>
        <v>6754994.8555334</v>
      </c>
      <c r="N7" s="42" t="n">
        <f aca="false">C7*Assumptions!$B$5</f>
        <v>700625.76375</v>
      </c>
    </row>
    <row r="8" customFormat="false" ht="15" hidden="false" customHeight="true" outlineLevel="0" collapsed="false">
      <c r="A8" s="40" t="n">
        <f aca="false">Inputs_TMV!$A$7</f>
        <v>2028</v>
      </c>
      <c r="B8" s="41" t="n">
        <f aca="false">Inputs_TMV!$E$7</f>
        <v>43835000</v>
      </c>
      <c r="C8" s="42" t="n">
        <f aca="false">B8*Assumptions!$B$4</f>
        <v>547937.5</v>
      </c>
      <c r="D8" s="42" t="n">
        <f aca="false">MAX(C8-Assumptions!$B$9,0)</f>
        <v>510758.5</v>
      </c>
      <c r="E8" s="42" t="n">
        <f aca="false">D8*Assumptions!$B$5</f>
        <v>653086.46361</v>
      </c>
      <c r="F8" s="42" t="n">
        <f aca="false">E8*Assumptions!$B$8</f>
        <v>2351.111268996</v>
      </c>
      <c r="G8" s="42" t="n">
        <f aca="false">(E8-F8)*Assumptions!$B$7</f>
        <v>65073.5352341004</v>
      </c>
      <c r="H8" s="42" t="n">
        <f aca="false">(E8-F8-G8)*(1-Assumptions!$B$6)</f>
        <v>0</v>
      </c>
      <c r="I8" s="43" t="n">
        <f aca="false">(E8-F8-G8)*Assumptions!$B$6</f>
        <v>585661.817106904</v>
      </c>
      <c r="J8" s="42" t="n">
        <f aca="false">M7</f>
        <v>6754994.8555334</v>
      </c>
      <c r="K8" s="42" t="n">
        <f aca="false">J8*Assumptions!$B$13</f>
        <v>310729.763354536</v>
      </c>
      <c r="L8" s="42" t="n">
        <f aca="false">MAX(0,MIN(I8-K8,J8))</f>
        <v>274932.053752367</v>
      </c>
      <c r="M8" s="42" t="n">
        <f aca="false">MAX(0,J8+K8-I8)</f>
        <v>6480062.80178103</v>
      </c>
      <c r="N8" s="42" t="n">
        <f aca="false">C8*Assumptions!$B$5</f>
        <v>700625.76375</v>
      </c>
    </row>
    <row r="9" customFormat="false" ht="15" hidden="false" customHeight="true" outlineLevel="0" collapsed="false">
      <c r="A9" s="40" t="n">
        <f aca="false">Inputs_TMV!$A$8</f>
        <v>2029</v>
      </c>
      <c r="B9" s="41" t="n">
        <f aca="false">Inputs_TMV!$E$8</f>
        <v>43835000</v>
      </c>
      <c r="C9" s="42" t="n">
        <f aca="false">B9*Assumptions!$B$4</f>
        <v>547937.5</v>
      </c>
      <c r="D9" s="42" t="n">
        <f aca="false">MAX(C9-Assumptions!$B$9,0)</f>
        <v>510758.5</v>
      </c>
      <c r="E9" s="42" t="n">
        <f aca="false">D9*Assumptions!$B$5</f>
        <v>653086.46361</v>
      </c>
      <c r="F9" s="42" t="n">
        <f aca="false">E9*Assumptions!$B$8</f>
        <v>2351.111268996</v>
      </c>
      <c r="G9" s="42" t="n">
        <f aca="false">(E9-F9)*Assumptions!$B$7</f>
        <v>65073.5352341004</v>
      </c>
      <c r="H9" s="42" t="n">
        <f aca="false">(E9-F9-G9)*(1-Assumptions!$B$6)</f>
        <v>0</v>
      </c>
      <c r="I9" s="43" t="n">
        <f aca="false">(E9-F9-G9)*Assumptions!$B$6</f>
        <v>585661.817106904</v>
      </c>
      <c r="J9" s="42" t="n">
        <f aca="false">M8</f>
        <v>6480062.80178103</v>
      </c>
      <c r="K9" s="42" t="n">
        <f aca="false">J9*Assumptions!$B$13</f>
        <v>298082.888881927</v>
      </c>
      <c r="L9" s="42" t="n">
        <f aca="false">MAX(0,MIN(I9-K9,J9))</f>
        <v>287578.928224976</v>
      </c>
      <c r="M9" s="42" t="n">
        <f aca="false">MAX(0,J9+K9-I9)</f>
        <v>6192483.87355605</v>
      </c>
      <c r="N9" s="42" t="n">
        <f aca="false">C9*Assumptions!$B$5</f>
        <v>700625.76375</v>
      </c>
    </row>
    <row r="10" customFormat="false" ht="15" hidden="false" customHeight="true" outlineLevel="0" collapsed="false">
      <c r="A10" s="40" t="n">
        <f aca="false">Inputs_TMV!$A$9</f>
        <v>2030</v>
      </c>
      <c r="B10" s="41" t="n">
        <f aca="false">Inputs_TMV!$E$9</f>
        <v>43835000</v>
      </c>
      <c r="C10" s="42" t="n">
        <f aca="false">B10*Assumptions!$B$4</f>
        <v>547937.5</v>
      </c>
      <c r="D10" s="42" t="n">
        <f aca="false">MAX(C10-Assumptions!$B$9,0)</f>
        <v>510758.5</v>
      </c>
      <c r="E10" s="42" t="n">
        <f aca="false">D10*Assumptions!$B$5</f>
        <v>653086.46361</v>
      </c>
      <c r="F10" s="42" t="n">
        <f aca="false">E10*Assumptions!$B$8</f>
        <v>2351.111268996</v>
      </c>
      <c r="G10" s="42" t="n">
        <f aca="false">(E10-F10)*Assumptions!$B$7</f>
        <v>65073.5352341004</v>
      </c>
      <c r="H10" s="42" t="n">
        <f aca="false">(E10-F10-G10)*(1-Assumptions!$B$6)</f>
        <v>0</v>
      </c>
      <c r="I10" s="43" t="n">
        <f aca="false">(E10-F10-G10)*Assumptions!$B$6</f>
        <v>585661.817106904</v>
      </c>
      <c r="J10" s="42" t="n">
        <f aca="false">M9</f>
        <v>6192483.87355605</v>
      </c>
      <c r="K10" s="42" t="n">
        <f aca="false">J10*Assumptions!$B$13</f>
        <v>284854.258183578</v>
      </c>
      <c r="L10" s="42" t="n">
        <f aca="false">MAX(0,MIN(I10-K10,J10))</f>
        <v>300807.558923325</v>
      </c>
      <c r="M10" s="42" t="n">
        <f aca="false">MAX(0,J10+K10-I10)</f>
        <v>5891676.31463273</v>
      </c>
      <c r="N10" s="42" t="n">
        <f aca="false">C10*Assumptions!$B$5</f>
        <v>700625.76375</v>
      </c>
    </row>
    <row r="11" customFormat="false" ht="15" hidden="false" customHeight="true" outlineLevel="0" collapsed="false">
      <c r="A11" s="40" t="n">
        <f aca="false">Inputs_TMV!$A$10</f>
        <v>2031</v>
      </c>
      <c r="B11" s="41" t="n">
        <f aca="false">Inputs_TMV!$E$10</f>
        <v>43835000</v>
      </c>
      <c r="C11" s="42" t="n">
        <f aca="false">B11*Assumptions!$B$4</f>
        <v>547937.5</v>
      </c>
      <c r="D11" s="42" t="n">
        <f aca="false">MAX(C11-Assumptions!$B$9,0)</f>
        <v>510758.5</v>
      </c>
      <c r="E11" s="42" t="n">
        <f aca="false">D11*Assumptions!$B$5</f>
        <v>653086.46361</v>
      </c>
      <c r="F11" s="42" t="n">
        <f aca="false">E11*Assumptions!$B$8</f>
        <v>2351.111268996</v>
      </c>
      <c r="G11" s="42" t="n">
        <f aca="false">(E11-F11)*Assumptions!$B$7</f>
        <v>65073.5352341004</v>
      </c>
      <c r="H11" s="42" t="n">
        <f aca="false">(E11-F11-G11)*(1-Assumptions!$B$6)</f>
        <v>0</v>
      </c>
      <c r="I11" s="43" t="n">
        <f aca="false">(E11-F11-G11)*Assumptions!$B$6</f>
        <v>585661.817106904</v>
      </c>
      <c r="J11" s="42" t="n">
        <f aca="false">M10</f>
        <v>5891676.31463273</v>
      </c>
      <c r="K11" s="42" t="n">
        <f aca="false">J11*Assumptions!$B$13</f>
        <v>271017.110473105</v>
      </c>
      <c r="L11" s="42" t="n">
        <f aca="false">MAX(0,MIN(I11-K11,J11))</f>
        <v>314644.706633798</v>
      </c>
      <c r="M11" s="42" t="n">
        <f aca="false">MAX(0,J11+K11-I11)</f>
        <v>5577031.60799893</v>
      </c>
      <c r="N11" s="42" t="n">
        <f aca="false">C11*Assumptions!$B$5</f>
        <v>700625.76375</v>
      </c>
    </row>
    <row r="12" customFormat="false" ht="15" hidden="false" customHeight="true" outlineLevel="0" collapsed="false">
      <c r="A12" s="40" t="n">
        <f aca="false">Inputs_TMV!$A$11</f>
        <v>2032</v>
      </c>
      <c r="B12" s="41" t="n">
        <f aca="false">Inputs_TMV!$E$11</f>
        <v>43835000</v>
      </c>
      <c r="C12" s="42" t="n">
        <f aca="false">B12*Assumptions!$B$4</f>
        <v>547937.5</v>
      </c>
      <c r="D12" s="42" t="n">
        <f aca="false">MAX(C12-Assumptions!$B$9,0)</f>
        <v>510758.5</v>
      </c>
      <c r="E12" s="42" t="n">
        <f aca="false">D12*Assumptions!$B$5</f>
        <v>653086.46361</v>
      </c>
      <c r="F12" s="42" t="n">
        <f aca="false">E12*Assumptions!$B$8</f>
        <v>2351.111268996</v>
      </c>
      <c r="G12" s="42" t="n">
        <f aca="false">(E12-F12)*Assumptions!$B$7</f>
        <v>65073.5352341004</v>
      </c>
      <c r="H12" s="42" t="n">
        <f aca="false">(E12-F12-G12)*(1-Assumptions!$B$6)</f>
        <v>0</v>
      </c>
      <c r="I12" s="43" t="n">
        <f aca="false">(E12-F12-G12)*Assumptions!$B$6</f>
        <v>585661.817106904</v>
      </c>
      <c r="J12" s="42" t="n">
        <f aca="false">M11</f>
        <v>5577031.60799893</v>
      </c>
      <c r="K12" s="42" t="n">
        <f aca="false">J12*Assumptions!$B$13</f>
        <v>256543.453967951</v>
      </c>
      <c r="L12" s="42" t="n">
        <f aca="false">MAX(0,MIN(I12-K12,J12))</f>
        <v>329118.363138953</v>
      </c>
      <c r="M12" s="42" t="n">
        <f aca="false">MAX(0,J12+K12-I12)</f>
        <v>5247913.24485998</v>
      </c>
      <c r="N12" s="42" t="n">
        <f aca="false">C12*Assumptions!$B$5</f>
        <v>700625.76375</v>
      </c>
    </row>
    <row r="13" customFormat="false" ht="15" hidden="false" customHeight="true" outlineLevel="0" collapsed="false">
      <c r="A13" s="40" t="n">
        <f aca="false">Inputs_TMV!$A$12</f>
        <v>2033</v>
      </c>
      <c r="B13" s="41" t="n">
        <f aca="false">Inputs_TMV!$E$12</f>
        <v>43835000</v>
      </c>
      <c r="C13" s="42" t="n">
        <f aca="false">B13*Assumptions!$B$4</f>
        <v>547937.5</v>
      </c>
      <c r="D13" s="42" t="n">
        <f aca="false">MAX(C13-Assumptions!$B$9,0)</f>
        <v>510758.5</v>
      </c>
      <c r="E13" s="42" t="n">
        <f aca="false">D13*Assumptions!$B$5</f>
        <v>653086.46361</v>
      </c>
      <c r="F13" s="42" t="n">
        <f aca="false">E13*Assumptions!$B$8</f>
        <v>2351.111268996</v>
      </c>
      <c r="G13" s="42" t="n">
        <f aca="false">(E13-F13)*Assumptions!$B$7</f>
        <v>65073.5352341004</v>
      </c>
      <c r="H13" s="42" t="n">
        <f aca="false">(E13-F13-G13)*(1-Assumptions!$B$6)</f>
        <v>0</v>
      </c>
      <c r="I13" s="43" t="n">
        <f aca="false">(E13-F13-G13)*Assumptions!$B$6</f>
        <v>585661.817106904</v>
      </c>
      <c r="J13" s="42" t="n">
        <f aca="false">M12</f>
        <v>5247913.24485998</v>
      </c>
      <c r="K13" s="42" t="n">
        <f aca="false">J13*Assumptions!$B$13</f>
        <v>241404.009263559</v>
      </c>
      <c r="L13" s="42" t="n">
        <f aca="false">MAX(0,MIN(I13-K13,J13))</f>
        <v>344257.807843345</v>
      </c>
      <c r="M13" s="42" t="n">
        <f aca="false">MAX(0,J13+K13-I13)</f>
        <v>4903655.43701663</v>
      </c>
      <c r="N13" s="42" t="n">
        <f aca="false">C13*Assumptions!$B$5</f>
        <v>700625.76375</v>
      </c>
    </row>
    <row r="14" customFormat="false" ht="15" hidden="false" customHeight="true" outlineLevel="0" collapsed="false">
      <c r="A14" s="40" t="n">
        <f aca="false">Inputs_TMV!$A$13</f>
        <v>2034</v>
      </c>
      <c r="B14" s="41" t="n">
        <f aca="false">Inputs_TMV!$E$13</f>
        <v>43835000</v>
      </c>
      <c r="C14" s="42" t="n">
        <f aca="false">B14*Assumptions!$B$4</f>
        <v>547937.5</v>
      </c>
      <c r="D14" s="42" t="n">
        <f aca="false">MAX(C14-Assumptions!$B$9,0)</f>
        <v>510758.5</v>
      </c>
      <c r="E14" s="42" t="n">
        <f aca="false">D14*Assumptions!$B$5</f>
        <v>653086.46361</v>
      </c>
      <c r="F14" s="42" t="n">
        <f aca="false">E14*Assumptions!$B$8</f>
        <v>2351.111268996</v>
      </c>
      <c r="G14" s="42" t="n">
        <f aca="false">(E14-F14)*Assumptions!$B$7</f>
        <v>65073.5352341004</v>
      </c>
      <c r="H14" s="42" t="n">
        <f aca="false">(E14-F14-G14)*(1-Assumptions!$B$6)</f>
        <v>0</v>
      </c>
      <c r="I14" s="43" t="n">
        <f aca="false">(E14-F14-G14)*Assumptions!$B$6</f>
        <v>585661.817106904</v>
      </c>
      <c r="J14" s="42" t="n">
        <f aca="false">M13</f>
        <v>4903655.43701663</v>
      </c>
      <c r="K14" s="42" t="n">
        <f aca="false">J14*Assumptions!$B$13</f>
        <v>225568.150102765</v>
      </c>
      <c r="L14" s="42" t="n">
        <f aca="false">MAX(0,MIN(I14-K14,J14))</f>
        <v>360093.667004139</v>
      </c>
      <c r="M14" s="42" t="n">
        <f aca="false">MAX(0,J14+K14-I14)</f>
        <v>4543561.77001249</v>
      </c>
      <c r="N14" s="42" t="n">
        <f aca="false">C14*Assumptions!$B$5</f>
        <v>700625.76375</v>
      </c>
    </row>
    <row r="15" customFormat="false" ht="15" hidden="false" customHeight="true" outlineLevel="0" collapsed="false">
      <c r="A15" s="40" t="n">
        <f aca="false">Inputs_TMV!$A$14</f>
        <v>2035</v>
      </c>
      <c r="B15" s="41" t="n">
        <f aca="false">Inputs_TMV!$E$14</f>
        <v>43835000</v>
      </c>
      <c r="C15" s="42" t="n">
        <f aca="false">B15*Assumptions!$B$4</f>
        <v>547937.5</v>
      </c>
      <c r="D15" s="42" t="n">
        <f aca="false">MAX(C15-Assumptions!$B$9,0)</f>
        <v>510758.5</v>
      </c>
      <c r="E15" s="42" t="n">
        <f aca="false">D15*Assumptions!$B$5</f>
        <v>653086.46361</v>
      </c>
      <c r="F15" s="42" t="n">
        <f aca="false">E15*Assumptions!$B$8</f>
        <v>2351.111268996</v>
      </c>
      <c r="G15" s="42" t="n">
        <f aca="false">(E15-F15)*Assumptions!$B$7</f>
        <v>65073.5352341004</v>
      </c>
      <c r="H15" s="42" t="n">
        <f aca="false">(E15-F15-G15)*(1-Assumptions!$B$6)</f>
        <v>0</v>
      </c>
      <c r="I15" s="43" t="n">
        <f aca="false">(E15-F15-G15)*Assumptions!$B$6</f>
        <v>585661.817106904</v>
      </c>
      <c r="J15" s="42" t="n">
        <f aca="false">M14</f>
        <v>4543561.77001249</v>
      </c>
      <c r="K15" s="42" t="n">
        <f aca="false">J15*Assumptions!$B$13</f>
        <v>209003.841420575</v>
      </c>
      <c r="L15" s="42" t="n">
        <f aca="false">MAX(0,MIN(I15-K15,J15))</f>
        <v>376657.975686329</v>
      </c>
      <c r="M15" s="42" t="n">
        <f aca="false">MAX(0,J15+K15-I15)</f>
        <v>4166903.79432616</v>
      </c>
      <c r="N15" s="42" t="n">
        <f aca="false">C15*Assumptions!$B$5</f>
        <v>700625.76375</v>
      </c>
    </row>
    <row r="16" customFormat="false" ht="15" hidden="false" customHeight="true" outlineLevel="0" collapsed="false">
      <c r="A16" s="40" t="n">
        <f aca="false">Inputs_TMV!$A$15</f>
        <v>2036</v>
      </c>
      <c r="B16" s="41" t="n">
        <f aca="false">Inputs_TMV!$E$15</f>
        <v>43835000</v>
      </c>
      <c r="C16" s="42" t="n">
        <f aca="false">B16*Assumptions!$B$4</f>
        <v>547937.5</v>
      </c>
      <c r="D16" s="42" t="n">
        <f aca="false">MAX(C16-Assumptions!$B$9,0)</f>
        <v>510758.5</v>
      </c>
      <c r="E16" s="42" t="n">
        <f aca="false">D16*Assumptions!$B$5</f>
        <v>653086.46361</v>
      </c>
      <c r="F16" s="42" t="n">
        <f aca="false">E16*Assumptions!$B$8</f>
        <v>2351.111268996</v>
      </c>
      <c r="G16" s="42" t="n">
        <f aca="false">(E16-F16)*Assumptions!$B$7</f>
        <v>65073.5352341004</v>
      </c>
      <c r="H16" s="42" t="n">
        <f aca="false">(E16-F16-G16)*(1-Assumptions!$B$6)</f>
        <v>0</v>
      </c>
      <c r="I16" s="43" t="n">
        <f aca="false">(E16-F16-G16)*Assumptions!$B$6</f>
        <v>585661.817106904</v>
      </c>
      <c r="J16" s="42" t="n">
        <f aca="false">M15</f>
        <v>4166903.79432616</v>
      </c>
      <c r="K16" s="42" t="n">
        <f aca="false">J16*Assumptions!$B$13</f>
        <v>191677.574539004</v>
      </c>
      <c r="L16" s="42" t="n">
        <f aca="false">MAX(0,MIN(I16-K16,J16))</f>
        <v>393984.2425679</v>
      </c>
      <c r="M16" s="42" t="n">
        <f aca="false">MAX(0,J16+K16-I16)</f>
        <v>3772919.55175826</v>
      </c>
      <c r="N16" s="42" t="n">
        <f aca="false">C16*Assumptions!$B$5</f>
        <v>700625.76375</v>
      </c>
    </row>
    <row r="17" customFormat="false" ht="15" hidden="false" customHeight="true" outlineLevel="0" collapsed="false">
      <c r="A17" s="40" t="n">
        <f aca="false">Inputs_TMV!$A$16</f>
        <v>2037</v>
      </c>
      <c r="B17" s="41" t="n">
        <f aca="false">Inputs_TMV!$E$16</f>
        <v>43835000</v>
      </c>
      <c r="C17" s="42" t="n">
        <f aca="false">B17*Assumptions!$B$4</f>
        <v>547937.5</v>
      </c>
      <c r="D17" s="42" t="n">
        <f aca="false">MAX(C17-Assumptions!$B$9,0)</f>
        <v>510758.5</v>
      </c>
      <c r="E17" s="42" t="n">
        <f aca="false">D17*Assumptions!$B$5</f>
        <v>653086.46361</v>
      </c>
      <c r="F17" s="42" t="n">
        <f aca="false">E17*Assumptions!$B$8</f>
        <v>2351.111268996</v>
      </c>
      <c r="G17" s="42" t="n">
        <f aca="false">(E17-F17)*Assumptions!$B$7</f>
        <v>65073.5352341004</v>
      </c>
      <c r="H17" s="42" t="n">
        <f aca="false">(E17-F17-G17)*(1-Assumptions!$B$6)</f>
        <v>0</v>
      </c>
      <c r="I17" s="43" t="n">
        <f aca="false">(E17-F17-G17)*Assumptions!$B$6</f>
        <v>585661.817106904</v>
      </c>
      <c r="J17" s="42" t="n">
        <f aca="false">M16</f>
        <v>3772919.55175826</v>
      </c>
      <c r="K17" s="42" t="n">
        <f aca="false">J17*Assumptions!$B$13</f>
        <v>173554.29938088</v>
      </c>
      <c r="L17" s="42" t="n">
        <f aca="false">MAX(0,MIN(I17-K17,J17))</f>
        <v>412107.517726023</v>
      </c>
      <c r="M17" s="42" t="n">
        <f aca="false">MAX(0,J17+K17-I17)</f>
        <v>3360812.03403224</v>
      </c>
      <c r="N17" s="42" t="n">
        <f aca="false">C17*Assumptions!$B$5</f>
        <v>700625.76375</v>
      </c>
    </row>
    <row r="18" customFormat="false" ht="15" hidden="false" customHeight="true" outlineLevel="0" collapsed="false">
      <c r="A18" s="40" t="n">
        <f aca="false">Inputs_TMV!$A$17</f>
        <v>2038</v>
      </c>
      <c r="B18" s="41" t="n">
        <f aca="false">Inputs_TMV!$E$17</f>
        <v>43835000</v>
      </c>
      <c r="C18" s="42" t="n">
        <f aca="false">B18*Assumptions!$B$4</f>
        <v>547937.5</v>
      </c>
      <c r="D18" s="42" t="n">
        <f aca="false">MAX(C18-Assumptions!$B$9,0)</f>
        <v>510758.5</v>
      </c>
      <c r="E18" s="42" t="n">
        <f aca="false">D18*Assumptions!$B$5</f>
        <v>653086.46361</v>
      </c>
      <c r="F18" s="42" t="n">
        <f aca="false">E18*Assumptions!$B$8</f>
        <v>2351.111268996</v>
      </c>
      <c r="G18" s="42" t="n">
        <f aca="false">(E18-F18)*Assumptions!$B$7</f>
        <v>65073.5352341004</v>
      </c>
      <c r="H18" s="42" t="n">
        <f aca="false">(E18-F18-G18)*(1-Assumptions!$B$6)</f>
        <v>0</v>
      </c>
      <c r="I18" s="43" t="n">
        <f aca="false">(E18-F18-G18)*Assumptions!$B$6</f>
        <v>585661.817106904</v>
      </c>
      <c r="J18" s="42" t="n">
        <f aca="false">M17</f>
        <v>3360812.03403224</v>
      </c>
      <c r="K18" s="42" t="n">
        <f aca="false">J18*Assumptions!$B$13</f>
        <v>154597.353565483</v>
      </c>
      <c r="L18" s="42" t="n">
        <f aca="false">MAX(0,MIN(I18-K18,J18))</f>
        <v>431064.46354142</v>
      </c>
      <c r="M18" s="42" t="n">
        <f aca="false">MAX(0,J18+K18-I18)</f>
        <v>2929747.57049082</v>
      </c>
      <c r="N18" s="42" t="n">
        <f aca="false">C18*Assumptions!$B$5</f>
        <v>700625.76375</v>
      </c>
    </row>
    <row r="19" customFormat="false" ht="15" hidden="false" customHeight="true" outlineLevel="0" collapsed="false">
      <c r="A19" s="40" t="n">
        <f aca="false">Inputs_TMV!$A$18</f>
        <v>2039</v>
      </c>
      <c r="B19" s="41" t="n">
        <f aca="false">Inputs_TMV!$E$18</f>
        <v>43835000</v>
      </c>
      <c r="C19" s="42" t="n">
        <f aca="false">B19*Assumptions!$B$4</f>
        <v>547937.5</v>
      </c>
      <c r="D19" s="42" t="n">
        <f aca="false">MAX(C19-Assumptions!$B$9,0)</f>
        <v>510758.5</v>
      </c>
      <c r="E19" s="42" t="n">
        <f aca="false">D19*Assumptions!$B$5</f>
        <v>653086.46361</v>
      </c>
      <c r="F19" s="42" t="n">
        <f aca="false">E19*Assumptions!$B$8</f>
        <v>2351.111268996</v>
      </c>
      <c r="G19" s="42" t="n">
        <f aca="false">(E19-F19)*Assumptions!$B$7</f>
        <v>65073.5352341004</v>
      </c>
      <c r="H19" s="42" t="n">
        <f aca="false">(E19-F19-G19)*(1-Assumptions!$B$6)</f>
        <v>0</v>
      </c>
      <c r="I19" s="43" t="n">
        <f aca="false">(E19-F19-G19)*Assumptions!$B$6</f>
        <v>585661.817106904</v>
      </c>
      <c r="J19" s="42" t="n">
        <f aca="false">M18</f>
        <v>2929747.57049082</v>
      </c>
      <c r="K19" s="42" t="n">
        <f aca="false">J19*Assumptions!$B$13</f>
        <v>134768.388242578</v>
      </c>
      <c r="L19" s="42" t="n">
        <f aca="false">MAX(0,MIN(I19-K19,J19))</f>
        <v>450893.428864326</v>
      </c>
      <c r="M19" s="42" t="n">
        <f aca="false">MAX(0,J19+K19-I19)</f>
        <v>2478854.14162649</v>
      </c>
      <c r="N19" s="42" t="n">
        <f aca="false">C19*Assumptions!$B$5</f>
        <v>700625.76375</v>
      </c>
    </row>
    <row r="20" customFormat="false" ht="15" hidden="false" customHeight="true" outlineLevel="0" collapsed="false">
      <c r="A20" s="40" t="n">
        <f aca="false">Inputs_TMV!$A$19</f>
        <v>2040</v>
      </c>
      <c r="B20" s="41" t="n">
        <f aca="false">Inputs_TMV!$E$19</f>
        <v>43835000</v>
      </c>
      <c r="C20" s="42" t="n">
        <f aca="false">B20*Assumptions!$B$4</f>
        <v>547937.5</v>
      </c>
      <c r="D20" s="42" t="n">
        <f aca="false">MAX(C20-Assumptions!$B$9,0)</f>
        <v>510758.5</v>
      </c>
      <c r="E20" s="42" t="n">
        <f aca="false">D20*Assumptions!$B$5</f>
        <v>653086.46361</v>
      </c>
      <c r="F20" s="42" t="n">
        <f aca="false">E20*Assumptions!$B$8</f>
        <v>2351.111268996</v>
      </c>
      <c r="G20" s="42" t="n">
        <f aca="false">(E20-F20)*Assumptions!$B$7</f>
        <v>65073.5352341004</v>
      </c>
      <c r="H20" s="42" t="n">
        <f aca="false">(E20-F20-G20)*(1-Assumptions!$B$6)</f>
        <v>0</v>
      </c>
      <c r="I20" s="43" t="n">
        <f aca="false">(E20-F20-G20)*Assumptions!$B$6</f>
        <v>585661.817106904</v>
      </c>
      <c r="J20" s="42" t="n">
        <f aca="false">M19</f>
        <v>2478854.14162649</v>
      </c>
      <c r="K20" s="42" t="n">
        <f aca="false">J20*Assumptions!$B$13</f>
        <v>114027.290514819</v>
      </c>
      <c r="L20" s="42" t="n">
        <f aca="false">MAX(0,MIN(I20-K20,J20))</f>
        <v>471634.526592085</v>
      </c>
      <c r="M20" s="42" t="n">
        <f aca="false">MAX(0,J20+K20-I20)</f>
        <v>2007219.61503441</v>
      </c>
      <c r="N20" s="42" t="n">
        <f aca="false">C20*Assumptions!$B$5</f>
        <v>700625.76375</v>
      </c>
    </row>
    <row r="21" customFormat="false" ht="15" hidden="false" customHeight="true" outlineLevel="0" collapsed="false">
      <c r="A21" s="40" t="n">
        <f aca="false">Inputs_TMV!$A$20</f>
        <v>2041</v>
      </c>
      <c r="B21" s="41" t="n">
        <f aca="false">Inputs_TMV!$E$20</f>
        <v>43835000</v>
      </c>
      <c r="C21" s="42" t="n">
        <f aca="false">B21*Assumptions!$B$4</f>
        <v>547937.5</v>
      </c>
      <c r="D21" s="42" t="n">
        <f aca="false">MAX(C21-Assumptions!$B$9,0)</f>
        <v>510758.5</v>
      </c>
      <c r="E21" s="42" t="n">
        <f aca="false">D21*Assumptions!$B$5</f>
        <v>653086.46361</v>
      </c>
      <c r="F21" s="42" t="n">
        <f aca="false">E21*Assumptions!$B$8</f>
        <v>2351.111268996</v>
      </c>
      <c r="G21" s="42" t="n">
        <f aca="false">(E21-F21)*Assumptions!$B$7</f>
        <v>65073.5352341004</v>
      </c>
      <c r="H21" s="42" t="n">
        <f aca="false">(E21-F21-G21)*(1-Assumptions!$B$6)</f>
        <v>0</v>
      </c>
      <c r="I21" s="43" t="n">
        <f aca="false">(E21-F21-G21)*Assumptions!$B$6</f>
        <v>585661.817106904</v>
      </c>
      <c r="J21" s="42" t="n">
        <f aca="false">M20</f>
        <v>2007219.61503441</v>
      </c>
      <c r="K21" s="42" t="n">
        <f aca="false">J21*Assumptions!$B$13</f>
        <v>92332.1022915829</v>
      </c>
      <c r="L21" s="42" t="n">
        <f aca="false">MAX(0,MIN(I21-K21,J21))</f>
        <v>493329.714815321</v>
      </c>
      <c r="M21" s="42" t="n">
        <f aca="false">MAX(0,J21+K21-I21)</f>
        <v>1513889.90021909</v>
      </c>
      <c r="N21" s="42" t="n">
        <f aca="false">C21*Assumptions!$B$5</f>
        <v>700625.76375</v>
      </c>
    </row>
    <row r="22" customFormat="false" ht="15" hidden="false" customHeight="true" outlineLevel="0" collapsed="false">
      <c r="A22" s="40" t="n">
        <f aca="false">Inputs_TMV!$A$21</f>
        <v>2042</v>
      </c>
      <c r="B22" s="41" t="n">
        <f aca="false">Inputs_TMV!$E$21</f>
        <v>43835000</v>
      </c>
      <c r="C22" s="42" t="n">
        <f aca="false">B22*Assumptions!$B$4</f>
        <v>547937.5</v>
      </c>
      <c r="D22" s="42" t="n">
        <f aca="false">MAX(C22-Assumptions!$B$9,0)</f>
        <v>510758.5</v>
      </c>
      <c r="E22" s="42" t="n">
        <f aca="false">D22*Assumptions!$B$5</f>
        <v>653086.46361</v>
      </c>
      <c r="F22" s="42" t="n">
        <f aca="false">E22*Assumptions!$B$8</f>
        <v>2351.111268996</v>
      </c>
      <c r="G22" s="42" t="n">
        <f aca="false">(E22-F22)*Assumptions!$B$7</f>
        <v>65073.5352341004</v>
      </c>
      <c r="H22" s="42" t="n">
        <f aca="false">(E22-F22-G22)*(1-Assumptions!$B$6)</f>
        <v>0</v>
      </c>
      <c r="I22" s="43" t="n">
        <f aca="false">(E22-F22-G22)*Assumptions!$B$6</f>
        <v>585661.817106904</v>
      </c>
      <c r="J22" s="42" t="n">
        <f aca="false">M21</f>
        <v>1513889.90021909</v>
      </c>
      <c r="K22" s="42" t="n">
        <f aca="false">J22*Assumptions!$B$13</f>
        <v>69638.9354100781</v>
      </c>
      <c r="L22" s="42" t="n">
        <f aca="false">MAX(0,MIN(I22-K22,J22))</f>
        <v>516022.881696825</v>
      </c>
      <c r="M22" s="42" t="n">
        <f aca="false">MAX(0,J22+K22-I22)</f>
        <v>997867.018522264</v>
      </c>
      <c r="N22" s="42" t="n">
        <f aca="false">C22*Assumptions!$B$5</f>
        <v>700625.76375</v>
      </c>
    </row>
    <row r="23" customFormat="false" ht="15" hidden="false" customHeight="true" outlineLevel="0" collapsed="false">
      <c r="A23" s="40" t="n">
        <f aca="false">Inputs_TMV!$A$22</f>
        <v>2043</v>
      </c>
      <c r="B23" s="41" t="n">
        <f aca="false">Inputs_TMV!$E$22</f>
        <v>43835000</v>
      </c>
      <c r="C23" s="42" t="n">
        <f aca="false">B23*Assumptions!$B$4</f>
        <v>547937.5</v>
      </c>
      <c r="D23" s="42" t="n">
        <f aca="false">MAX(C23-Assumptions!$B$9,0)</f>
        <v>510758.5</v>
      </c>
      <c r="E23" s="42" t="n">
        <f aca="false">D23*Assumptions!$B$5</f>
        <v>653086.46361</v>
      </c>
      <c r="F23" s="42" t="n">
        <f aca="false">E23*Assumptions!$B$8</f>
        <v>2351.111268996</v>
      </c>
      <c r="G23" s="42" t="n">
        <f aca="false">(E23-F23)*Assumptions!$B$7</f>
        <v>65073.5352341004</v>
      </c>
      <c r="H23" s="42" t="n">
        <f aca="false">(E23-F23-G23)*(1-Assumptions!$B$6)</f>
        <v>0</v>
      </c>
      <c r="I23" s="43" t="n">
        <f aca="false">(E23-F23-G23)*Assumptions!$B$6</f>
        <v>585661.817106904</v>
      </c>
      <c r="J23" s="42" t="n">
        <f aca="false">M22</f>
        <v>997867.018522264</v>
      </c>
      <c r="K23" s="42" t="n">
        <f aca="false">J23*Assumptions!$B$13</f>
        <v>45901.8828520241</v>
      </c>
      <c r="L23" s="42" t="n">
        <f aca="false">MAX(0,MIN(I23-K23,J23))</f>
        <v>539759.934254879</v>
      </c>
      <c r="M23" s="42" t="n">
        <f aca="false">MAX(0,J23+K23-I23)</f>
        <v>458107.084267385</v>
      </c>
      <c r="N23" s="42" t="n">
        <f aca="false">C23*Assumptions!$B$5</f>
        <v>700625.76375</v>
      </c>
    </row>
    <row r="24" customFormat="false" ht="15" hidden="false" customHeight="true" outlineLevel="0" collapsed="false">
      <c r="A24" s="40" t="n">
        <f aca="false">Inputs_TMV!$A$23</f>
        <v>2044</v>
      </c>
      <c r="B24" s="41" t="n">
        <f aca="false">Inputs_TMV!$E$23</f>
        <v>43835000</v>
      </c>
      <c r="C24" s="42" t="n">
        <f aca="false">B24*Assumptions!$B$4</f>
        <v>547937.5</v>
      </c>
      <c r="D24" s="42" t="n">
        <f aca="false">MAX(C24-Assumptions!$B$9,0)</f>
        <v>510758.5</v>
      </c>
      <c r="E24" s="42" t="n">
        <f aca="false">D24*Assumptions!$B$5</f>
        <v>653086.46361</v>
      </c>
      <c r="F24" s="42" t="n">
        <f aca="false">E24*Assumptions!$B$8</f>
        <v>2351.111268996</v>
      </c>
      <c r="G24" s="42" t="n">
        <f aca="false">(E24-F24)*Assumptions!$B$7</f>
        <v>65073.5352341004</v>
      </c>
      <c r="H24" s="42" t="n">
        <f aca="false">(E24-F24-G24)*(1-Assumptions!$B$6)</f>
        <v>0</v>
      </c>
      <c r="I24" s="43" t="n">
        <f aca="false">(E24-F24-G24)*Assumptions!$B$6</f>
        <v>585661.817106904</v>
      </c>
      <c r="J24" s="42" t="n">
        <f aca="false">M23</f>
        <v>458107.084267385</v>
      </c>
      <c r="K24" s="42" t="n">
        <f aca="false">J24*Assumptions!$B$13</f>
        <v>21072.9258762997</v>
      </c>
      <c r="L24" s="42" t="n">
        <f aca="false">MAX(0,MIN(I24-K24,J24))</f>
        <v>458107.084267385</v>
      </c>
      <c r="M24" s="42" t="n">
        <f aca="false">MAX(0,J24+K24-I24)</f>
        <v>0</v>
      </c>
      <c r="N24" s="42" t="n">
        <f aca="false">C24*Assumptions!$B$5</f>
        <v>700625.76375</v>
      </c>
    </row>
    <row r="25" customFormat="false" ht="15" hidden="false" customHeight="true" outlineLevel="0" collapsed="false">
      <c r="A25" s="44" t="s">
        <v>166</v>
      </c>
      <c r="C25" s="43" t="n">
        <f aca="false">SUM(C6:C24)</f>
        <v>10410812.5</v>
      </c>
      <c r="D25" s="43" t="n">
        <f aca="false">SUM(D6:D24)</f>
        <v>9704411.5</v>
      </c>
      <c r="E25" s="43" t="n">
        <f aca="false">SUM(E6:E24)</f>
        <v>12408642.80859</v>
      </c>
      <c r="F25" s="43" t="n">
        <f aca="false">SUM(F6:F24)</f>
        <v>44671.114110924</v>
      </c>
      <c r="G25" s="43" t="n">
        <f aca="false">SUM(G6:G24)</f>
        <v>1236397.16944791</v>
      </c>
      <c r="H25" s="43" t="n">
        <f aca="false">SUM(H6:H24)</f>
        <v>0</v>
      </c>
      <c r="I25" s="43" t="n">
        <f aca="false">SUM(I6:I24)</f>
        <v>11127574.5250312</v>
      </c>
      <c r="K25" s="43" t="n">
        <f aca="false">SUM(K6:K24)</f>
        <v>3751974.14806795</v>
      </c>
      <c r="L25" s="43" t="n">
        <f aca="false">SUM(L6:L24)</f>
        <v>7269118.57</v>
      </c>
      <c r="N25" s="43" t="n">
        <f aca="false">SUM(N6:N24)</f>
        <v>13311889.51125</v>
      </c>
    </row>
    <row r="27" customFormat="false" ht="15" hidden="false" customHeight="true" outlineLevel="0" collapsed="false">
      <c r="A27" s="44" t="s">
        <v>167</v>
      </c>
      <c r="B27" s="45" t="n">
        <f aca="false">IFERROR(INDEX(A6:A24,MATCH(TRUE(),M6:M24=0,0)),"Not paid off in horizon")</f>
        <v>2044</v>
      </c>
    </row>
    <row r="28" customFormat="false" ht="15" hidden="false" customHeight="true" outlineLevel="0" collapsed="false">
      <c r="A28" s="44" t="s">
        <v>168</v>
      </c>
      <c r="H28" s="44" t="s">
        <v>169</v>
      </c>
      <c r="I28" s="46" t="n">
        <f aca="false">NPV(Assumptions!$B$34,I6:I24)</f>
        <v>7077910.97499253</v>
      </c>
      <c r="M28" s="44" t="s">
        <v>170</v>
      </c>
      <c r="N28" s="46" t="n">
        <f aca="false">NPV(Assumptions!$B$34,N6:N24)</f>
        <v>8467287.15746798</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5" min="2" style="1" width="21"/>
  </cols>
  <sheetData>
    <row r="1" customFormat="false" ht="17.25" hidden="false" customHeight="true" outlineLevel="0" collapsed="false">
      <c r="A1" s="9" t="s">
        <v>174</v>
      </c>
      <c r="B1" s="9"/>
      <c r="C1" s="9"/>
      <c r="D1" s="9"/>
      <c r="E1" s="9"/>
    </row>
    <row r="2" customFormat="false" ht="31.5" hidden="false" customHeight="true" outlineLevel="0" collapsed="false">
      <c r="A2" s="17" t="s">
        <v>175</v>
      </c>
      <c r="B2" s="17"/>
      <c r="C2" s="17"/>
      <c r="D2" s="17"/>
      <c r="E2" s="17"/>
    </row>
    <row r="4" customFormat="false" ht="36" hidden="false" customHeight="true" outlineLevel="0" collapsed="false">
      <c r="A4" s="18" t="s">
        <v>176</v>
      </c>
      <c r="B4" s="18" t="s">
        <v>177</v>
      </c>
      <c r="C4" s="18" t="s">
        <v>178</v>
      </c>
      <c r="D4" s="18" t="s">
        <v>179</v>
      </c>
      <c r="E4" s="18" t="s">
        <v>180</v>
      </c>
    </row>
    <row r="5" customFormat="false" ht="15" hidden="false" customHeight="true" outlineLevel="0" collapsed="false">
      <c r="A5" s="10" t="s">
        <v>181</v>
      </c>
      <c r="B5" s="10"/>
      <c r="C5" s="10"/>
      <c r="D5" s="10"/>
      <c r="E5" s="10"/>
    </row>
    <row r="6" customFormat="false" ht="15" hidden="false" customHeight="true" outlineLevel="0" collapsed="false">
      <c r="A6" s="27" t="s">
        <v>182</v>
      </c>
      <c r="B6" s="47" t="n">
        <f aca="false">Engine_Current!B27</f>
        <v>2039</v>
      </c>
      <c r="C6" s="47" t="n">
        <f aca="false">Engine_Mid_Appeal!B27</f>
        <v>2040</v>
      </c>
      <c r="D6" s="47" t="n">
        <f aca="false">Engine_Agg_Appeal!B27</f>
        <v>2041</v>
      </c>
      <c r="E6" s="47" t="n">
        <f aca="false">Engine_MAA_Floor!B27</f>
        <v>2044</v>
      </c>
    </row>
    <row r="7" customFormat="false" ht="15" hidden="false" customHeight="true" outlineLevel="0" collapsed="false">
      <c r="A7" s="27" t="s">
        <v>183</v>
      </c>
      <c r="B7" s="48" t="n">
        <f aca="false">Engine_Current!I25</f>
        <v>14131642.8514912</v>
      </c>
      <c r="C7" s="48" t="n">
        <f aca="false">Engine_Mid_Appeal!I25</f>
        <v>13391995.5326021</v>
      </c>
      <c r="D7" s="48" t="n">
        <f aca="false">Engine_Agg_Appeal!I25</f>
        <v>12806486.7934226</v>
      </c>
      <c r="E7" s="48" t="n">
        <f aca="false">Engine_MAA_Floor!I25</f>
        <v>11127574.5250312</v>
      </c>
    </row>
    <row r="8" customFormat="false" ht="15" hidden="false" customHeight="true" outlineLevel="0" collapsed="false">
      <c r="A8" s="31" t="s">
        <v>184</v>
      </c>
      <c r="B8" s="24" t="n">
        <f aca="false">Engine_Current!K25</f>
        <v>2608452.60186462</v>
      </c>
      <c r="C8" s="24" t="n">
        <f aca="false">Engine_Mid_Appeal!K25</f>
        <v>2815076.83846277</v>
      </c>
      <c r="D8" s="24" t="n">
        <f aca="false">Engine_Agg_Appeal!K25</f>
        <v>3005346.83874629</v>
      </c>
      <c r="E8" s="24" t="n">
        <f aca="false">Engine_MAA_Floor!K25</f>
        <v>3751974.14806795</v>
      </c>
    </row>
    <row r="9" customFormat="false" ht="15" hidden="false" customHeight="true" outlineLevel="0" collapsed="false">
      <c r="A9" s="31" t="s">
        <v>185</v>
      </c>
      <c r="B9" s="24" t="n">
        <f aca="false">Engine_Current!L25</f>
        <v>7269118.57</v>
      </c>
      <c r="C9" s="24" t="n">
        <f aca="false">Engine_Mid_Appeal!L25</f>
        <v>7269118.57</v>
      </c>
      <c r="D9" s="24" t="n">
        <f aca="false">Engine_Agg_Appeal!L25</f>
        <v>7269118.57</v>
      </c>
      <c r="E9" s="24" t="n">
        <f aca="false">Engine_MAA_Floor!L25</f>
        <v>7269118.57</v>
      </c>
    </row>
    <row r="10" customFormat="false" ht="15" hidden="false" customHeight="true" outlineLevel="0" collapsed="false">
      <c r="A10" s="27" t="s">
        <v>186</v>
      </c>
      <c r="B10" s="48" t="n">
        <f aca="false">Engine_Current!I28</f>
        <v>8988707.27023633</v>
      </c>
      <c r="C10" s="48" t="n">
        <f aca="false">Engine_Mid_Appeal!I28</f>
        <v>8518240.15593281</v>
      </c>
      <c r="D10" s="48" t="n">
        <f aca="false">Engine_Agg_Appeal!I28</f>
        <v>8145815.89387369</v>
      </c>
      <c r="E10" s="48" t="n">
        <f aca="false">Engine_MAA_Floor!I28</f>
        <v>7077910.97499253</v>
      </c>
    </row>
    <row r="11" customFormat="false" ht="15" hidden="false" customHeight="true" outlineLevel="0" collapsed="false">
      <c r="A11" s="10" t="s">
        <v>187</v>
      </c>
      <c r="B11" s="10"/>
      <c r="C11" s="10"/>
      <c r="D11" s="10"/>
      <c r="E11" s="10"/>
    </row>
    <row r="12" customFormat="false" ht="15" hidden="false" customHeight="true" outlineLevel="0" collapsed="false">
      <c r="A12" s="27" t="s">
        <v>188</v>
      </c>
      <c r="B12" s="48" t="n">
        <f aca="false">Engine_Current!N25</f>
        <v>16661802.8955</v>
      </c>
      <c r="C12" s="48" t="n">
        <f aca="false">Engine_Mid_Appeal!N25</f>
        <v>15837003.2625</v>
      </c>
      <c r="D12" s="48" t="n">
        <f aca="false">Engine_Agg_Appeal!N25</f>
        <v>15184087.5</v>
      </c>
      <c r="E12" s="48" t="n">
        <f aca="false">Engine_MAA_Floor!N25</f>
        <v>13311889.51125</v>
      </c>
    </row>
    <row r="13" customFormat="false" ht="15" hidden="false" customHeight="true" outlineLevel="0" collapsed="false">
      <c r="A13" s="31" t="s">
        <v>189</v>
      </c>
      <c r="B13" s="24" t="n">
        <f aca="false">Engine_Current!N28</f>
        <v>10598064.9522445</v>
      </c>
      <c r="C13" s="24" t="n">
        <f aca="false">Engine_Mid_Appeal!N28</f>
        <v>10073435.0464687</v>
      </c>
      <c r="D13" s="24" t="n">
        <f aca="false">Engine_Agg_Appeal!N28</f>
        <v>9658135.23151361</v>
      </c>
      <c r="E13" s="24" t="n">
        <f aca="false">Engine_MAA_Floor!N28</f>
        <v>8467287.15746798</v>
      </c>
    </row>
    <row r="14" customFormat="false" ht="15" hidden="false" customHeight="true" outlineLevel="0" collapsed="false">
      <c r="A14" s="10" t="s">
        <v>190</v>
      </c>
      <c r="B14" s="10"/>
      <c r="C14" s="10"/>
      <c r="D14" s="10"/>
      <c r="E14" s="10"/>
    </row>
    <row r="15" customFormat="false" ht="15" hidden="false" customHeight="true" outlineLevel="0" collapsed="false">
      <c r="A15" s="27" t="s">
        <v>191</v>
      </c>
      <c r="B15" s="48" t="n">
        <f aca="false">0</f>
        <v>0</v>
      </c>
      <c r="C15" s="48" t="n">
        <f aca="false">Engine_Current!N25-Engine_Mid_Appeal!N25</f>
        <v>824799.632999999</v>
      </c>
      <c r="D15" s="48" t="n">
        <f aca="false">Engine_Current!N25-Engine_Agg_Appeal!N25</f>
        <v>1477715.3955</v>
      </c>
      <c r="E15" s="48" t="n">
        <f aca="false">Engine_Current!N25-Engine_MAA_Floor!N25</f>
        <v>3349913.38425</v>
      </c>
    </row>
    <row r="16" customFormat="false" ht="15" hidden="false" customHeight="true" outlineLevel="0" collapsed="false">
      <c r="A16" s="31" t="s">
        <v>192</v>
      </c>
      <c r="B16" s="24" t="n">
        <f aca="false">0</f>
        <v>0</v>
      </c>
      <c r="C16" s="24" t="n">
        <f aca="false">Engine_Current!N28-Engine_Mid_Appeal!N28</f>
        <v>524629.905775821</v>
      </c>
      <c r="D16" s="24" t="n">
        <f aca="false">Engine_Current!N28-Engine_Agg_Appeal!N28</f>
        <v>939929.720730905</v>
      </c>
      <c r="E16" s="24" t="n">
        <f aca="false">Engine_Current!N28-Engine_MAA_Floor!N28</f>
        <v>2130777.79477653</v>
      </c>
    </row>
    <row r="17" customFormat="false" ht="15" hidden="false" customHeight="true" outlineLevel="0" collapsed="false">
      <c r="A17" s="31" t="s">
        <v>193</v>
      </c>
      <c r="B17" s="24" t="n">
        <f aca="false">0</f>
        <v>0</v>
      </c>
      <c r="C17" s="24" t="n">
        <f aca="false">Engine_Current!I25-Engine_Mid_Appeal!I25</f>
        <v>739647.31888908</v>
      </c>
      <c r="D17" s="24" t="n">
        <f aca="false">Engine_Current!I25-Engine_Agg_Appeal!I25</f>
        <v>1325156.05806858</v>
      </c>
      <c r="E17" s="24" t="n">
        <f aca="false">Engine_Current!I25-Engine_MAA_Floor!I25</f>
        <v>3004068.32646003</v>
      </c>
    </row>
    <row r="18" customFormat="false" ht="15" hidden="false" customHeight="true" outlineLevel="0" collapsed="false">
      <c r="A18" s="31" t="s">
        <v>194</v>
      </c>
      <c r="B18" s="24" t="n">
        <f aca="false">0</f>
        <v>0</v>
      </c>
      <c r="C18" s="24" t="n">
        <f aca="false">Engine_Current!I28-Engine_Mid_Appeal!I28</f>
        <v>470467.114303524</v>
      </c>
      <c r="D18" s="24" t="n">
        <f aca="false">Engine_Current!I28-Engine_Agg_Appeal!I28</f>
        <v>842891.376362648</v>
      </c>
      <c r="E18" s="24" t="n">
        <f aca="false">Engine_Current!I28-Engine_MAA_Floor!I28</f>
        <v>1910796.2952438</v>
      </c>
    </row>
    <row r="19" customFormat="false" ht="15" hidden="false" customHeight="true" outlineLevel="0" collapsed="false">
      <c r="A19" s="10" t="s">
        <v>195</v>
      </c>
      <c r="B19" s="10"/>
      <c r="C19" s="10"/>
      <c r="D19" s="10"/>
      <c r="E19" s="10"/>
    </row>
    <row r="20" customFormat="false" ht="15" hidden="false" customHeight="true" outlineLevel="0" collapsed="false">
      <c r="A20" s="49" t="s">
        <v>196</v>
      </c>
      <c r="B20" s="50" t="n">
        <f aca="false">0</f>
        <v>0</v>
      </c>
      <c r="C20" s="50" t="n">
        <f aca="false">(Engine_Current!N25-Engine_Mid_Appeal!N25)-(Engine_Current!I25-Engine_Mid_Appeal!I25)</f>
        <v>85152.3141109198</v>
      </c>
      <c r="D20" s="50" t="n">
        <f aca="false">(Engine_Current!N25-Engine_Agg_Appeal!N25)-(Engine_Current!I25-Engine_Agg_Appeal!I25)</f>
        <v>152559.337431418</v>
      </c>
      <c r="E20" s="50" t="n">
        <f aca="false">(Engine_Current!N25-Engine_MAA_Floor!N25)-(Engine_Current!I25-Engine_MAA_Floor!I25)</f>
        <v>345845.05778997</v>
      </c>
    </row>
    <row r="21" customFormat="false" ht="15" hidden="false" customHeight="true" outlineLevel="0" collapsed="false">
      <c r="A21" s="49" t="s">
        <v>197</v>
      </c>
      <c r="B21" s="50" t="n">
        <f aca="false">0</f>
        <v>0</v>
      </c>
      <c r="C21" s="50" t="n">
        <f aca="false">(Engine_Current!N28-Engine_Mid_Appeal!N28)-(Engine_Current!I28-Engine_Mid_Appeal!I28)</f>
        <v>54162.7914722972</v>
      </c>
      <c r="D21" s="50" t="n">
        <f aca="false">(Engine_Current!N28-Engine_Agg_Appeal!N28)-(Engine_Current!I28-Engine_Agg_Appeal!I28)</f>
        <v>97038.3443682566</v>
      </c>
      <c r="E21" s="50" t="n">
        <f aca="false">(Engine_Current!N28-Engine_MAA_Floor!N28)-(Engine_Current!I28-Engine_MAA_Floor!I28)</f>
        <v>219981.49953273</v>
      </c>
    </row>
    <row r="22" customFormat="false" ht="15" hidden="false" customHeight="true" outlineLevel="0" collapsed="false">
      <c r="A22" s="51" t="s">
        <v>198</v>
      </c>
      <c r="B22" s="51"/>
      <c r="C22" s="51"/>
      <c r="D22" s="51"/>
      <c r="E22" s="51"/>
    </row>
    <row r="23" customFormat="false" ht="15" hidden="false" customHeight="true" outlineLevel="0" collapsed="false">
      <c r="A23" s="11" t="s">
        <v>199</v>
      </c>
      <c r="B23" s="52" t="n">
        <v>0</v>
      </c>
      <c r="C23" s="24" t="n">
        <f aca="false">Engine_Current!I6-Engine_Mid_Appeal!I6</f>
        <v>38928.80625732</v>
      </c>
      <c r="D23" s="24" t="n">
        <f aca="false">Engine_Current!I6-Engine_Agg_Appeal!I6</f>
        <v>69745.0556878201</v>
      </c>
      <c r="E23" s="24" t="n">
        <f aca="false">Engine_Current!I6-Engine_MAA_Floor!I6</f>
        <v>158108.85928737</v>
      </c>
    </row>
    <row r="24" customFormat="false" ht="30" hidden="false" customHeight="true" outlineLevel="0" collapsed="false">
      <c r="A24" s="11" t="s">
        <v>200</v>
      </c>
      <c r="B24" s="53" t="n">
        <f aca="false">IFERROR(Engine_Current!B27-2025,0)</f>
        <v>14</v>
      </c>
      <c r="C24" s="53" t="n">
        <f aca="false">IFERROR(Engine_Mid_Appeal!B27-2025,0)</f>
        <v>15</v>
      </c>
      <c r="D24" s="53" t="n">
        <f aca="false">IFERROR(Engine_Agg_Appeal!B27-2025,0)</f>
        <v>16</v>
      </c>
      <c r="E24" s="53" t="n">
        <f aca="false">IFERROR(Engine_MAA_Floor!B27-2025,0)</f>
        <v>19</v>
      </c>
    </row>
    <row r="25" customFormat="false" ht="30" hidden="false" customHeight="true" outlineLevel="0" collapsed="false">
      <c r="A25" s="11" t="s">
        <v>201</v>
      </c>
      <c r="B25" s="52" t="n">
        <v>0</v>
      </c>
      <c r="C25" s="52" t="n">
        <f aca="false">C23*C24</f>
        <v>583932.0938598</v>
      </c>
      <c r="D25" s="52" t="n">
        <f aca="false">D23*D24</f>
        <v>1115920.89100512</v>
      </c>
      <c r="E25" s="52" t="n">
        <f aca="false">E23*E24</f>
        <v>3004068.32646003</v>
      </c>
    </row>
    <row r="26" customFormat="false" ht="30" hidden="false" customHeight="true" outlineLevel="0" collapsed="false">
      <c r="A26" s="11" t="s">
        <v>202</v>
      </c>
      <c r="B26" s="52" t="n">
        <v>0</v>
      </c>
      <c r="C26" s="24" t="n">
        <f aca="false">Engine_Mid_Appeal!K25-Engine_Current!K25</f>
        <v>206624.236598154</v>
      </c>
      <c r="D26" s="24" t="n">
        <f aca="false">Engine_Agg_Appeal!K25-Engine_Current!K25</f>
        <v>396894.236881673</v>
      </c>
      <c r="E26" s="24" t="n">
        <f aca="false">Engine_MAA_Floor!K25-Engine_Current!K25</f>
        <v>1143521.54620333</v>
      </c>
    </row>
    <row r="27" customFormat="false" ht="30" hidden="false" customHeight="true" outlineLevel="0" collapsed="false">
      <c r="A27" s="54" t="s">
        <v>203</v>
      </c>
      <c r="B27" s="26" t="n">
        <v>0</v>
      </c>
      <c r="C27" s="26" t="n">
        <f aca="false">C25-C26</f>
        <v>377307.857261646</v>
      </c>
      <c r="D27" s="26" t="n">
        <f aca="false">D25-D26</f>
        <v>719026.654123448</v>
      </c>
      <c r="E27" s="26" t="n">
        <f aca="false">E25-E26</f>
        <v>1860546.7802567</v>
      </c>
    </row>
    <row r="28" customFormat="false" ht="30" hidden="false" customHeight="true" outlineLevel="0" collapsed="false">
      <c r="A28" s="10" t="s">
        <v>204</v>
      </c>
      <c r="B28" s="10"/>
      <c r="C28" s="10"/>
      <c r="D28" s="10"/>
      <c r="E28" s="10"/>
    </row>
    <row r="29" customFormat="false" ht="41.25" hidden="false" customHeight="true" outlineLevel="0" collapsed="false">
      <c r="A29" s="31" t="s">
        <v>205</v>
      </c>
      <c r="B29" s="24" t="n">
        <f aca="false">-Attorney_Fees!$B$25</f>
        <v>-0</v>
      </c>
      <c r="C29" s="24" t="n">
        <f aca="false">-Attorney_Fees!$C$25</f>
        <v>-32557.88025</v>
      </c>
      <c r="D29" s="24" t="n">
        <f aca="false">-Attorney_Fees!$D$25</f>
        <v>-58330.870875</v>
      </c>
      <c r="E29" s="24" t="n">
        <f aca="false">-Attorney_Fees!$E$25</f>
        <v>-132233.4230625</v>
      </c>
    </row>
    <row r="30" customFormat="false" ht="41.25" hidden="false" customHeight="true" outlineLevel="0" collapsed="false">
      <c r="A30" s="31" t="s">
        <v>206</v>
      </c>
      <c r="B30" s="24" t="n">
        <f aca="false">-Attorney_Fees!$B$26</f>
        <v>-0</v>
      </c>
      <c r="C30" s="24" t="n">
        <f aca="false">-Attorney_Fees!$C$26</f>
        <v>-26443.6810327736</v>
      </c>
      <c r="D30" s="24" t="n">
        <f aca="false">-Attorney_Fees!$D$26</f>
        <v>-47376.6391404551</v>
      </c>
      <c r="E30" s="24" t="n">
        <f aca="false">-Attorney_Fees!$E$26</f>
        <v>-107400.679481784</v>
      </c>
    </row>
    <row r="31" customFormat="false" ht="41.25" hidden="false" customHeight="true" outlineLevel="0" collapsed="false">
      <c r="A31" s="49" t="s">
        <v>207</v>
      </c>
      <c r="B31" s="55" t="n">
        <f aca="false">B20+B29</f>
        <v>0</v>
      </c>
      <c r="C31" s="55" t="n">
        <f aca="false">C20+C29</f>
        <v>52594.4338609198</v>
      </c>
      <c r="D31" s="55" t="n">
        <f aca="false">D20+D29</f>
        <v>94228.4665564178</v>
      </c>
      <c r="E31" s="55" t="n">
        <f aca="false">E20+E29</f>
        <v>213611.63472747</v>
      </c>
    </row>
    <row r="32" customFormat="false" ht="68.25" hidden="false" customHeight="true" outlineLevel="0" collapsed="false">
      <c r="A32" s="49" t="s">
        <v>208</v>
      </c>
      <c r="B32" s="55" t="n">
        <f aca="false">B21+B30</f>
        <v>0</v>
      </c>
      <c r="C32" s="55" t="n">
        <f aca="false">C21+C30</f>
        <v>27719.1104395236</v>
      </c>
      <c r="D32" s="55" t="n">
        <f aca="false">D21+D30</f>
        <v>49661.7052278015</v>
      </c>
      <c r="E32" s="55" t="n">
        <f aca="false">E21+E30</f>
        <v>112580.820050946</v>
      </c>
    </row>
    <row r="33" customFormat="false" ht="54.75" hidden="false" customHeight="true" outlineLevel="0" collapsed="false"/>
    <row r="34" customFormat="false" ht="60" hidden="false" customHeight="true" outlineLevel="0" collapsed="false">
      <c r="A34" s="10" t="s">
        <v>209</v>
      </c>
      <c r="B34" s="10"/>
      <c r="C34" s="10"/>
      <c r="D34" s="10"/>
      <c r="E34" s="10"/>
    </row>
    <row r="35" customFormat="false" ht="41.25" hidden="false" customHeight="true" outlineLevel="0" collapsed="false">
      <c r="A35" s="56" t="s">
        <v>210</v>
      </c>
    </row>
    <row r="36" customFormat="false" ht="41.25" hidden="false" customHeight="true" outlineLevel="0" collapsed="false">
      <c r="A36" s="56" t="s">
        <v>211</v>
      </c>
    </row>
    <row r="37" customFormat="false" ht="41.25" hidden="false" customHeight="true" outlineLevel="0" collapsed="false">
      <c r="A37" s="56" t="s">
        <v>212</v>
      </c>
    </row>
    <row r="38" customFormat="false" ht="68.25" hidden="false" customHeight="true" outlineLevel="0" collapsed="false">
      <c r="A38" s="56" t="s">
        <v>213</v>
      </c>
    </row>
    <row r="39" customFormat="false" ht="54.75" hidden="false" customHeight="true" outlineLevel="0" collapsed="false">
      <c r="A39" s="56" t="s">
        <v>214</v>
      </c>
    </row>
    <row r="40" customFormat="false" ht="108.75" hidden="false" customHeight="true" outlineLevel="0" collapsed="false">
      <c r="A40" s="56" t="s">
        <v>215</v>
      </c>
    </row>
  </sheetData>
  <mergeCells count="9">
    <mergeCell ref="A1:E1"/>
    <mergeCell ref="A2:E2"/>
    <mergeCell ref="A5:E5"/>
    <mergeCell ref="A11:E11"/>
    <mergeCell ref="A14:E14"/>
    <mergeCell ref="A19:E19"/>
    <mergeCell ref="A22:E22"/>
    <mergeCell ref="A28:E28"/>
    <mergeCell ref="A34:E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6" min="2" style="1" width="12"/>
  </cols>
  <sheetData>
    <row r="1" customFormat="false" ht="17.25" hidden="false" customHeight="true" outlineLevel="0" collapsed="false">
      <c r="A1" s="9" t="s">
        <v>216</v>
      </c>
      <c r="B1" s="9"/>
      <c r="C1" s="9"/>
      <c r="D1" s="9"/>
      <c r="E1" s="9"/>
      <c r="F1" s="9"/>
      <c r="G1" s="9"/>
      <c r="H1" s="9"/>
      <c r="I1" s="9"/>
      <c r="J1" s="9"/>
      <c r="K1" s="9"/>
      <c r="L1" s="9"/>
      <c r="M1" s="9"/>
      <c r="N1" s="9"/>
      <c r="O1" s="9"/>
      <c r="P1" s="9"/>
      <c r="Q1" s="9"/>
      <c r="R1" s="9"/>
      <c r="S1" s="9"/>
      <c r="T1" s="9"/>
      <c r="U1" s="9"/>
      <c r="V1" s="9"/>
      <c r="W1" s="9"/>
      <c r="X1" s="9"/>
      <c r="Y1" s="9"/>
      <c r="Z1" s="9"/>
    </row>
    <row r="2" customFormat="false" ht="69.75" hidden="false" customHeight="true" outlineLevel="0" collapsed="false">
      <c r="A2" s="57" t="s">
        <v>217</v>
      </c>
      <c r="B2" s="57"/>
      <c r="C2" s="57"/>
      <c r="D2" s="57"/>
      <c r="E2" s="57"/>
      <c r="F2" s="57"/>
      <c r="G2" s="57"/>
      <c r="H2" s="57"/>
      <c r="I2" s="57"/>
      <c r="J2" s="57"/>
      <c r="K2" s="57"/>
      <c r="L2" s="57"/>
      <c r="M2" s="57"/>
      <c r="N2" s="57"/>
      <c r="O2" s="57"/>
      <c r="P2" s="57"/>
      <c r="Q2" s="57"/>
      <c r="R2" s="57"/>
      <c r="S2" s="57"/>
      <c r="T2" s="57"/>
      <c r="U2" s="57"/>
      <c r="V2" s="57"/>
      <c r="W2" s="57"/>
      <c r="X2" s="57"/>
      <c r="Y2" s="57"/>
      <c r="Z2" s="57"/>
    </row>
    <row r="4" customFormat="false" ht="25.5" hidden="false" customHeight="true" outlineLevel="0" collapsed="false">
      <c r="A4" s="58" t="s">
        <v>218</v>
      </c>
    </row>
    <row r="5" customFormat="false" ht="36" hidden="false" customHeight="true" outlineLevel="0" collapsed="false">
      <c r="A5" s="59" t="s">
        <v>219</v>
      </c>
      <c r="B5" s="60" t="n">
        <v>0.25</v>
      </c>
      <c r="C5" s="59" t="s">
        <v>220</v>
      </c>
      <c r="D5" s="60" t="n">
        <v>0.04</v>
      </c>
      <c r="E5" s="59" t="s">
        <v>221</v>
      </c>
      <c r="F5" s="60" t="n">
        <v>0.025</v>
      </c>
    </row>
    <row r="6" customFormat="false" ht="31.5" hidden="false" customHeight="true" outlineLevel="0" collapsed="false">
      <c r="A6" s="59" t="s">
        <v>222</v>
      </c>
      <c r="B6" s="60" t="n">
        <v>0.05</v>
      </c>
      <c r="C6" s="60" t="n">
        <v>0.06</v>
      </c>
      <c r="D6" s="60" t="n">
        <v>0.07</v>
      </c>
      <c r="E6" s="60" t="n">
        <v>0.08</v>
      </c>
    </row>
    <row r="7" customFormat="false" ht="21.75" hidden="false" customHeight="true" outlineLevel="0" collapsed="false">
      <c r="A7" s="59" t="s">
        <v>223</v>
      </c>
      <c r="B7" s="61" t="n">
        <v>54866000</v>
      </c>
      <c r="C7" s="61" t="n">
        <v>50000000</v>
      </c>
      <c r="D7" s="61" t="n">
        <v>47500000</v>
      </c>
      <c r="E7" s="61" t="n">
        <v>43835000</v>
      </c>
    </row>
    <row r="8" customFormat="false" ht="21.75" hidden="false" customHeight="true" outlineLevel="0" collapsed="false">
      <c r="B8" s="62" t="s">
        <v>224</v>
      </c>
      <c r="C8" s="62" t="s">
        <v>225</v>
      </c>
      <c r="D8" s="62" t="s">
        <v>226</v>
      </c>
      <c r="E8" s="62" t="s">
        <v>227</v>
      </c>
    </row>
    <row r="9" customFormat="false" ht="30" hidden="false" customHeight="true" outlineLevel="0" collapsed="false">
      <c r="A9" s="63" t="s">
        <v>228</v>
      </c>
      <c r="B9" s="63"/>
      <c r="C9" s="63"/>
      <c r="D9" s="63"/>
      <c r="E9" s="63"/>
      <c r="F9" s="63"/>
      <c r="G9" s="63"/>
      <c r="H9" s="63"/>
      <c r="I9" s="63"/>
      <c r="J9" s="63"/>
      <c r="K9" s="63"/>
      <c r="L9" s="63"/>
      <c r="M9" s="63"/>
      <c r="N9" s="63"/>
      <c r="O9" s="63"/>
      <c r="P9" s="63"/>
      <c r="Q9" s="63"/>
      <c r="R9" s="63"/>
      <c r="S9" s="63"/>
      <c r="T9" s="63"/>
      <c r="U9" s="63"/>
      <c r="V9" s="63"/>
      <c r="W9" s="63"/>
      <c r="X9" s="63"/>
      <c r="Y9" s="63"/>
      <c r="Z9" s="63"/>
    </row>
    <row r="10" customFormat="false" ht="21.75" hidden="false" customHeight="true" outlineLevel="0" collapsed="false">
      <c r="A10" s="64" t="s">
        <v>229</v>
      </c>
    </row>
    <row r="11" customFormat="false" ht="39.75" hidden="false" customHeight="true" outlineLevel="0" collapsed="false">
      <c r="A11" s="65" t="s">
        <v>230</v>
      </c>
      <c r="B11" s="66" t="n">
        <v>2026</v>
      </c>
      <c r="C11" s="67" t="n">
        <v>2027</v>
      </c>
      <c r="D11" s="67" t="n">
        <v>2028</v>
      </c>
      <c r="E11" s="67" t="n">
        <v>2029</v>
      </c>
      <c r="F11" s="67" t="n">
        <v>2030</v>
      </c>
      <c r="G11" s="66" t="n">
        <v>2031</v>
      </c>
      <c r="H11" s="67" t="n">
        <v>2032</v>
      </c>
      <c r="I11" s="67" t="n">
        <v>2033</v>
      </c>
      <c r="J11" s="67" t="n">
        <v>2034</v>
      </c>
      <c r="K11" s="67" t="n">
        <v>2035</v>
      </c>
      <c r="L11" s="66" t="n">
        <v>2036</v>
      </c>
      <c r="M11" s="67" t="n">
        <v>2037</v>
      </c>
      <c r="N11" s="67" t="n">
        <v>2038</v>
      </c>
      <c r="O11" s="67" t="n">
        <v>2039</v>
      </c>
      <c r="P11" s="67" t="n">
        <v>2040</v>
      </c>
      <c r="Q11" s="66" t="n">
        <v>2041</v>
      </c>
      <c r="R11" s="67" t="n">
        <v>2042</v>
      </c>
      <c r="S11" s="67" t="n">
        <v>2043</v>
      </c>
      <c r="T11" s="67" t="n">
        <v>2044</v>
      </c>
      <c r="U11" s="67" t="n">
        <v>2045</v>
      </c>
      <c r="V11" s="65" t="s">
        <v>231</v>
      </c>
      <c r="W11" s="65" t="s">
        <v>232</v>
      </c>
      <c r="X11" s="65" t="s">
        <v>233</v>
      </c>
      <c r="Y11" s="65" t="s">
        <v>234</v>
      </c>
      <c r="Z11" s="65" t="s">
        <v>235</v>
      </c>
    </row>
    <row r="12" customFormat="false" ht="15" hidden="false" customHeight="true" outlineLevel="0" collapsed="false">
      <c r="A12" s="68" t="s">
        <v>236</v>
      </c>
      <c r="B12" s="69" t="n">
        <f aca="false">Scenario_Analysis_4Cases!$B$7*(1+Scenario_Analysis_4Cases!$D$5)^0</f>
        <v>54866000</v>
      </c>
      <c r="C12" s="69" t="n">
        <f aca="false">Scenario_Analysis_4Cases!$B$7*(1+Scenario_Analysis_4Cases!$D$5)^1</f>
        <v>57060640</v>
      </c>
      <c r="D12" s="69" t="n">
        <f aca="false">Scenario_Analysis_4Cases!$B$7*(1+Scenario_Analysis_4Cases!$D$5)^2</f>
        <v>59343065.6</v>
      </c>
      <c r="E12" s="69" t="n">
        <f aca="false">Scenario_Analysis_4Cases!$B$7*(1+Scenario_Analysis_4Cases!$D$5)^3</f>
        <v>61716788.224</v>
      </c>
      <c r="F12" s="69" t="n">
        <f aca="false">Scenario_Analysis_4Cases!$B$7*(1+Scenario_Analysis_4Cases!$D$5)^4</f>
        <v>64185459.75296</v>
      </c>
      <c r="G12" s="69" t="n">
        <f aca="false">Scenario_Analysis_4Cases!$B$7*(1+Scenario_Analysis_4Cases!$D$5)^5</f>
        <v>66752878.1430784</v>
      </c>
      <c r="H12" s="69" t="n">
        <f aca="false">Scenario_Analysis_4Cases!$B$7*(1+Scenario_Analysis_4Cases!$D$5)^6</f>
        <v>69422993.2688016</v>
      </c>
      <c r="I12" s="69" t="n">
        <f aca="false">Scenario_Analysis_4Cases!$B$7*(1+Scenario_Analysis_4Cases!$D$5)^7</f>
        <v>72199912.9995536</v>
      </c>
      <c r="J12" s="69" t="n">
        <f aca="false">Scenario_Analysis_4Cases!$B$7*(1+Scenario_Analysis_4Cases!$D$5)^8</f>
        <v>75087909.5195358</v>
      </c>
      <c r="K12" s="69" t="n">
        <f aca="false">Scenario_Analysis_4Cases!$B$7*(1+Scenario_Analysis_4Cases!$D$5)^9</f>
        <v>78091425.9003172</v>
      </c>
      <c r="L12" s="69" t="n">
        <f aca="false">Scenario_Analysis_4Cases!$B$7*(1+Scenario_Analysis_4Cases!$D$5)^10</f>
        <v>81215082.9363299</v>
      </c>
      <c r="M12" s="69" t="n">
        <f aca="false">Scenario_Analysis_4Cases!$B$7*(1+Scenario_Analysis_4Cases!$D$5)^11</f>
        <v>84463686.2537831</v>
      </c>
      <c r="N12" s="69" t="n">
        <f aca="false">Scenario_Analysis_4Cases!$B$7*(1+Scenario_Analysis_4Cases!$D$5)^12</f>
        <v>87842233.7039344</v>
      </c>
      <c r="O12" s="69" t="n">
        <f aca="false">Scenario_Analysis_4Cases!$B$7*(1+Scenario_Analysis_4Cases!$D$5)^13</f>
        <v>91355923.0520918</v>
      </c>
      <c r="P12" s="69" t="n">
        <f aca="false">Scenario_Analysis_4Cases!$B$7*(1+Scenario_Analysis_4Cases!$D$5)^14</f>
        <v>95010159.9741755</v>
      </c>
      <c r="Q12" s="69" t="n">
        <f aca="false">Scenario_Analysis_4Cases!$B$7*(1+Scenario_Analysis_4Cases!$D$5)^15</f>
        <v>98810566.3731425</v>
      </c>
      <c r="R12" s="69" t="n">
        <f aca="false">Scenario_Analysis_4Cases!$B$7*(1+Scenario_Analysis_4Cases!$D$5)^16</f>
        <v>102762989.028068</v>
      </c>
      <c r="S12" s="69" t="n">
        <f aca="false">Scenario_Analysis_4Cases!$B$7*(1+Scenario_Analysis_4Cases!$D$5)^17</f>
        <v>106873508.589191</v>
      </c>
      <c r="T12" s="69" t="n">
        <f aca="false">Scenario_Analysis_4Cases!$B$7*(1+Scenario_Analysis_4Cases!$D$5)^18</f>
        <v>111148448.932759</v>
      </c>
      <c r="U12" s="69" t="n">
        <f aca="false">Scenario_Analysis_4Cases!$B$7*(1+Scenario_Analysis_4Cases!$D$5)^19</f>
        <v>115594386.890069</v>
      </c>
      <c r="V12" s="70" t="s">
        <v>237</v>
      </c>
      <c r="W12" s="70" t="s">
        <v>237</v>
      </c>
      <c r="X12" s="70" t="s">
        <v>237</v>
      </c>
      <c r="Y12" s="70" t="s">
        <v>237</v>
      </c>
      <c r="Z12" s="70" t="s">
        <v>237</v>
      </c>
    </row>
    <row r="13" customFormat="false" ht="21.75" hidden="false" customHeight="true" outlineLevel="0" collapsed="false">
      <c r="A13" s="71" t="s">
        <v>238</v>
      </c>
      <c r="B13" s="69" t="n">
        <f aca="false">-B12*Assumptions!$B$4*Assumptions!$B$5</f>
        <v>-876936.9945</v>
      </c>
      <c r="C13" s="69" t="n">
        <f aca="false">-C12*Assumptions!$B$4*Assumptions!$B$5</f>
        <v>-912014.47428</v>
      </c>
      <c r="D13" s="69" t="n">
        <f aca="false">-D12*Assumptions!$B$4*Assumptions!$B$5</f>
        <v>-948495.0532512</v>
      </c>
      <c r="E13" s="69" t="n">
        <f aca="false">-E12*Assumptions!$B$4*Assumptions!$B$5</f>
        <v>-986434.855381248</v>
      </c>
      <c r="F13" s="69" t="n">
        <f aca="false">-F12*Assumptions!$B$4*Assumptions!$B$5</f>
        <v>-1025892.2495965</v>
      </c>
      <c r="G13" s="69" t="n">
        <f aca="false">-G12*Assumptions!$B$4*Assumptions!$B$5</f>
        <v>-1066927.93958036</v>
      </c>
      <c r="H13" s="69" t="n">
        <f aca="false">-H12*Assumptions!$B$4*Assumptions!$B$5</f>
        <v>-1109605.05716357</v>
      </c>
      <c r="I13" s="69" t="n">
        <f aca="false">-I12*Assumptions!$B$4*Assumptions!$B$5</f>
        <v>-1153989.25945012</v>
      </c>
      <c r="J13" s="69" t="n">
        <f aca="false">-J12*Assumptions!$B$4*Assumptions!$B$5</f>
        <v>-1200148.82982812</v>
      </c>
      <c r="K13" s="69" t="n">
        <f aca="false">-K12*Assumptions!$B$4*Assumptions!$B$5</f>
        <v>-1248154.78302124</v>
      </c>
      <c r="L13" s="69" t="n">
        <f aca="false">-L12*Assumptions!$B$4*Assumptions!$B$5</f>
        <v>-1298080.97434209</v>
      </c>
      <c r="M13" s="69" t="n">
        <f aca="false">-M12*Assumptions!$B$4*Assumptions!$B$5</f>
        <v>-1350004.21331578</v>
      </c>
      <c r="N13" s="69" t="n">
        <f aca="false">-N12*Assumptions!$B$4*Assumptions!$B$5</f>
        <v>-1404004.38184841</v>
      </c>
      <c r="O13" s="69" t="n">
        <f aca="false">-O12*Assumptions!$B$4*Assumptions!$B$5</f>
        <v>-1460164.55712235</v>
      </c>
      <c r="P13" s="69" t="n">
        <f aca="false">-P12*Assumptions!$B$4*Assumptions!$B$5</f>
        <v>-1518571.13940724</v>
      </c>
      <c r="Q13" s="69" t="n">
        <f aca="false">-Q12*Assumptions!$B$4*Assumptions!$B$5</f>
        <v>-1579313.98498353</v>
      </c>
      <c r="R13" s="69" t="n">
        <f aca="false">-R12*Assumptions!$B$4*Assumptions!$B$5</f>
        <v>-1642486.54438287</v>
      </c>
      <c r="S13" s="69" t="n">
        <f aca="false">-S12*Assumptions!$B$4*Assumptions!$B$5</f>
        <v>-1708186.00615819</v>
      </c>
      <c r="T13" s="69" t="n">
        <f aca="false">-T12*Assumptions!$B$4*Assumptions!$B$5</f>
        <v>-1776513.44640451</v>
      </c>
      <c r="U13" s="69" t="n">
        <f aca="false">-U12*Assumptions!$B$4*Assumptions!$B$5</f>
        <v>-1847573.98426069</v>
      </c>
      <c r="V13" s="72" t="n">
        <f aca="false">SUM(B13:U13)</f>
        <v>-26113498.728278</v>
      </c>
      <c r="W13" s="73" t="n">
        <f aca="false">NPV(Scenario_Analysis_4Cases!$B$6,B13:U13)</f>
        <v>-15275254.2862473</v>
      </c>
      <c r="X13" s="73" t="n">
        <f aca="false">NPV(Scenario_Analysis_4Cases!$C$6,B13:U13)</f>
        <v>-13890570.0436595</v>
      </c>
      <c r="Y13" s="73" t="n">
        <f aca="false">NPV(Scenario_Analysis_4Cases!$D$6,B13:U13)</f>
        <v>-12679694.6265669</v>
      </c>
      <c r="Z13" s="73" t="n">
        <f aca="false">NPV(Scenario_Analysis_4Cases!$E$6,B13:U13)</f>
        <v>-11617189.0168929</v>
      </c>
    </row>
    <row r="14" customFormat="false" ht="39.75" hidden="false" customHeight="true" outlineLevel="0" collapsed="false">
      <c r="A14" s="71" t="s">
        <v>239</v>
      </c>
      <c r="B14" s="69" t="n">
        <f aca="false">MIN(MAX(0,B12*Assumptions!$B$4-Assumptions!$B$9)*Assumptions!$B$5*(1-Assumptions!$B$7),(Assumptions!$B$15)*(1+Assumptions!$B$13))</f>
        <v>746457.924924</v>
      </c>
      <c r="C14" s="69" t="n">
        <f aca="false">MIN(MAX(0,C12*Assumptions!$B$4-Assumptions!$B$9)*Assumptions!$B$5*(1-Assumptions!$B$7),(B17)*(1+Assumptions!$B$13))</f>
        <v>778027.656726</v>
      </c>
      <c r="D14" s="69" t="n">
        <f aca="false">MIN(MAX(0,D12*Assumptions!$B$4-Assumptions!$B$9)*Assumptions!$B$5*(1-Assumptions!$B$7),(C17)*(1+Assumptions!$B$13))</f>
        <v>810860.17780008</v>
      </c>
      <c r="E14" s="69" t="n">
        <f aca="false">MIN(MAX(0,E12*Assumptions!$B$4-Assumptions!$B$9)*Assumptions!$B$5*(1-Assumptions!$B$7),(D17)*(1+Assumptions!$B$13))</f>
        <v>845005.999717123</v>
      </c>
      <c r="F14" s="69" t="n">
        <f aca="false">MIN(MAX(0,F12*Assumptions!$B$4-Assumptions!$B$9)*Assumptions!$B$5*(1-Assumptions!$B$7),(E17)*(1+Assumptions!$B$13))</f>
        <v>880517.654510848</v>
      </c>
      <c r="G14" s="69" t="n">
        <f aca="false">MIN(MAX(0,G12*Assumptions!$B$4-Assumptions!$B$9)*Assumptions!$B$5*(1-Assumptions!$B$7),(F17)*(1+Assumptions!$B$13))</f>
        <v>917449.775496322</v>
      </c>
      <c r="H14" s="69" t="n">
        <f aca="false">MIN(MAX(0,H12*Assumptions!$B$4-Assumptions!$B$9)*Assumptions!$B$5*(1-Assumptions!$B$7),(G17)*(1+Assumptions!$B$13))</f>
        <v>955859.181321215</v>
      </c>
      <c r="I14" s="69" t="n">
        <f aca="false">MIN(MAX(0,I12*Assumptions!$B$4-Assumptions!$B$9)*Assumptions!$B$5*(1-Assumptions!$B$7),(H17)*(1+Assumptions!$B$13))</f>
        <v>995804.963379104</v>
      </c>
      <c r="J14" s="69" t="n">
        <f aca="false">MIN(MAX(0,J12*Assumptions!$B$4-Assumptions!$B$9)*Assumptions!$B$5*(1-Assumptions!$B$7),(I17)*(1+Assumptions!$B$13))</f>
        <v>1037348.57671931</v>
      </c>
      <c r="K14" s="69" t="n">
        <f aca="false">MIN(MAX(0,K12*Assumptions!$B$4-Assumptions!$B$9)*Assumptions!$B$5*(1-Assumptions!$B$7),(J17)*(1+Assumptions!$B$13))</f>
        <v>1080553.93459312</v>
      </c>
      <c r="L14" s="69" t="n">
        <f aca="false">MIN(MAX(0,L12*Assumptions!$B$4-Assumptions!$B$9)*Assumptions!$B$5*(1-Assumptions!$B$7),(K17)*(1+Assumptions!$B$13))</f>
        <v>414067.391914748</v>
      </c>
      <c r="M14" s="69" t="n">
        <f aca="false">MIN(MAX(0,M12*Assumptions!$B$4-Assumptions!$B$9)*Assumptions!$B$5*(1-Assumptions!$B$7),(L17)*(1+Assumptions!$B$13))</f>
        <v>0</v>
      </c>
      <c r="N14" s="69" t="n">
        <f aca="false">MIN(MAX(0,N12*Assumptions!$B$4-Assumptions!$B$9)*Assumptions!$B$5*(1-Assumptions!$B$7),(M17)*(1+Assumptions!$B$13))</f>
        <v>0</v>
      </c>
      <c r="O14" s="69" t="n">
        <f aca="false">MIN(MAX(0,O12*Assumptions!$B$4-Assumptions!$B$9)*Assumptions!$B$5*(1-Assumptions!$B$7),(N17)*(1+Assumptions!$B$13))</f>
        <v>0</v>
      </c>
      <c r="P14" s="69" t="n">
        <f aca="false">MIN(MAX(0,P12*Assumptions!$B$4-Assumptions!$B$9)*Assumptions!$B$5*(1-Assumptions!$B$7),(O17)*(1+Assumptions!$B$13))</f>
        <v>0</v>
      </c>
      <c r="Q14" s="69" t="n">
        <f aca="false">MIN(MAX(0,Q12*Assumptions!$B$4-Assumptions!$B$9)*Assumptions!$B$5*(1-Assumptions!$B$7),(P17)*(1+Assumptions!$B$13))</f>
        <v>0</v>
      </c>
      <c r="R14" s="69" t="n">
        <f aca="false">MIN(MAX(0,R12*Assumptions!$B$4-Assumptions!$B$9)*Assumptions!$B$5*(1-Assumptions!$B$7),(Q17)*(1+Assumptions!$B$13))</f>
        <v>0</v>
      </c>
      <c r="S14" s="69" t="n">
        <f aca="false">MIN(MAX(0,S12*Assumptions!$B$4-Assumptions!$B$9)*Assumptions!$B$5*(1-Assumptions!$B$7),(R17)*(1+Assumptions!$B$13))</f>
        <v>0</v>
      </c>
      <c r="T14" s="69" t="n">
        <f aca="false">MIN(MAX(0,T12*Assumptions!$B$4-Assumptions!$B$9)*Assumptions!$B$5*(1-Assumptions!$B$7),(S17)*(1+Assumptions!$B$13))</f>
        <v>0</v>
      </c>
      <c r="U14" s="69" t="n">
        <f aca="false">MIN(MAX(0,U12*Assumptions!$B$4-Assumptions!$B$9)*Assumptions!$B$5*(1-Assumptions!$B$7),(T17)*(1+Assumptions!$B$13))</f>
        <v>0</v>
      </c>
      <c r="V14" s="72" t="n">
        <f aca="false">SUM(B14:U14)</f>
        <v>9461953.23710187</v>
      </c>
      <c r="W14" s="73" t="n">
        <f aca="false">NPV(Scenario_Analysis_4Cases!$B$6,B14:U14)</f>
        <v>7114228.55778429</v>
      </c>
      <c r="X14" s="73" t="n">
        <f aca="false">NPV(Scenario_Analysis_4Cases!$C$6,B14:U14)</f>
        <v>6747512.61672969</v>
      </c>
      <c r="Y14" s="73" t="n">
        <f aca="false">NPV(Scenario_Analysis_4Cases!$D$6,B14:U14)</f>
        <v>6407967.4010683</v>
      </c>
      <c r="Z14" s="73" t="n">
        <f aca="false">NPV(Scenario_Analysis_4Cases!$E$6,B14:U14)</f>
        <v>6093165.74478128</v>
      </c>
    </row>
    <row r="15" customFormat="false" ht="15" hidden="false" customHeight="true" outlineLevel="0" collapsed="false">
      <c r="A15" s="71" t="s">
        <v>240</v>
      </c>
      <c r="B15" s="69" t="n">
        <v>0</v>
      </c>
      <c r="C15" s="69" t="n">
        <v>0</v>
      </c>
      <c r="D15" s="69" t="n">
        <v>0</v>
      </c>
      <c r="E15" s="69" t="n">
        <v>0</v>
      </c>
      <c r="F15" s="69" t="n">
        <v>0</v>
      </c>
      <c r="G15" s="69" t="n">
        <v>0</v>
      </c>
      <c r="H15" s="69" t="n">
        <v>0</v>
      </c>
      <c r="I15" s="69" t="n">
        <v>0</v>
      </c>
      <c r="J15" s="69" t="n">
        <v>0</v>
      </c>
      <c r="K15" s="69" t="n">
        <v>0</v>
      </c>
      <c r="L15" s="69" t="n">
        <v>0</v>
      </c>
      <c r="M15" s="69" t="n">
        <v>0</v>
      </c>
      <c r="N15" s="69" t="n">
        <v>0</v>
      </c>
      <c r="O15" s="69" t="n">
        <v>0</v>
      </c>
      <c r="P15" s="69" t="n">
        <v>0</v>
      </c>
      <c r="Q15" s="69" t="n">
        <v>0</v>
      </c>
      <c r="R15" s="69" t="n">
        <v>0</v>
      </c>
      <c r="S15" s="69" t="n">
        <v>0</v>
      </c>
      <c r="T15" s="69" t="n">
        <v>0</v>
      </c>
      <c r="U15" s="69" t="n">
        <v>0</v>
      </c>
      <c r="V15" s="72" t="n">
        <f aca="false">SUM(B15:U15)</f>
        <v>0</v>
      </c>
      <c r="W15" s="73" t="n">
        <f aca="false">NPV(Scenario_Analysis_4Cases!$B$6,B15:U15)</f>
        <v>0</v>
      </c>
      <c r="X15" s="73" t="n">
        <f aca="false">NPV(Scenario_Analysis_4Cases!$C$6,B15:U15)</f>
        <v>0</v>
      </c>
      <c r="Y15" s="73" t="n">
        <f aca="false">NPV(Scenario_Analysis_4Cases!$D$6,B15:U15)</f>
        <v>0</v>
      </c>
      <c r="Z15" s="73" t="n">
        <f aca="false">NPV(Scenario_Analysis_4Cases!$E$6,B15:U15)</f>
        <v>0</v>
      </c>
    </row>
    <row r="16" customFormat="false" ht="15" hidden="false" customHeight="true" outlineLevel="0" collapsed="false">
      <c r="A16" s="74" t="s">
        <v>241</v>
      </c>
      <c r="B16" s="75" t="n">
        <f aca="false">B13+B14+B15</f>
        <v>-130479.069576</v>
      </c>
      <c r="C16" s="75" t="n">
        <f aca="false">C13+C14+C15</f>
        <v>-133986.817554</v>
      </c>
      <c r="D16" s="75" t="n">
        <f aca="false">D13+D14+D15</f>
        <v>-137634.87545112</v>
      </c>
      <c r="E16" s="75" t="n">
        <f aca="false">E13+E14+E15</f>
        <v>-141428.855664125</v>
      </c>
      <c r="F16" s="75" t="n">
        <f aca="false">F13+F14+F15</f>
        <v>-145374.59508565</v>
      </c>
      <c r="G16" s="75" t="n">
        <f aca="false">G13+G14+G15</f>
        <v>-149478.164084036</v>
      </c>
      <c r="H16" s="75" t="n">
        <f aca="false">H13+H14+H15</f>
        <v>-153745.875842357</v>
      </c>
      <c r="I16" s="75" t="n">
        <f aca="false">I13+I14+I15</f>
        <v>-158184.296071011</v>
      </c>
      <c r="J16" s="75" t="n">
        <f aca="false">J13+J14+J15</f>
        <v>-162800.253108812</v>
      </c>
      <c r="K16" s="75" t="n">
        <f aca="false">K13+K14+K15</f>
        <v>-167600.848428124</v>
      </c>
      <c r="L16" s="75" t="n">
        <f aca="false">L13+L14+L15</f>
        <v>-884013.582427347</v>
      </c>
      <c r="M16" s="75" t="n">
        <f aca="false">M13+M14+M15</f>
        <v>-1350004.21331578</v>
      </c>
      <c r="N16" s="75" t="n">
        <f aca="false">N13+N14+N15</f>
        <v>-1404004.38184841</v>
      </c>
      <c r="O16" s="75" t="n">
        <f aca="false">O13+O14+O15</f>
        <v>-1460164.55712235</v>
      </c>
      <c r="P16" s="75" t="n">
        <f aca="false">P13+P14+P15</f>
        <v>-1518571.13940724</v>
      </c>
      <c r="Q16" s="75" t="n">
        <f aca="false">Q13+Q14+Q15</f>
        <v>-1579313.98498353</v>
      </c>
      <c r="R16" s="75" t="n">
        <f aca="false">R13+R14+R15</f>
        <v>-1642486.54438287</v>
      </c>
      <c r="S16" s="75" t="n">
        <f aca="false">S13+S14+S15</f>
        <v>-1708186.00615819</v>
      </c>
      <c r="T16" s="75" t="n">
        <f aca="false">T13+T14+T15</f>
        <v>-1776513.44640451</v>
      </c>
      <c r="U16" s="75" t="n">
        <f aca="false">U13+U14+U15</f>
        <v>-1847573.98426069</v>
      </c>
      <c r="V16" s="75" t="n">
        <f aca="false">SUM(B16:U16)</f>
        <v>-16651545.4911761</v>
      </c>
      <c r="W16" s="75" t="n">
        <f aca="false">NPV(Scenario_Analysis_4Cases!$B$6,B16:U16)</f>
        <v>-8161025.72846302</v>
      </c>
      <c r="X16" s="75" t="n">
        <f aca="false">NPV(Scenario_Analysis_4Cases!$C$6,B16:U16)</f>
        <v>-7143057.4269298</v>
      </c>
      <c r="Y16" s="75" t="n">
        <f aca="false">NPV(Scenario_Analysis_4Cases!$D$6,B16:U16)</f>
        <v>-6271727.22549856</v>
      </c>
      <c r="Z16" s="75" t="n">
        <f aca="false">NPV(Scenario_Analysis_4Cases!$E$6,B16:U16)</f>
        <v>-5524023.27211165</v>
      </c>
    </row>
    <row r="17" customFormat="false" ht="15" hidden="false" customHeight="true" outlineLevel="0" collapsed="false">
      <c r="A17" s="76" t="s">
        <v>242</v>
      </c>
      <c r="B17" s="77" t="n">
        <f aca="false">MAX(0,(Assumptions!$B$15)*(1+Assumptions!$B$13)-B14)</f>
        <v>6857040.099296</v>
      </c>
      <c r="C17" s="77" t="n">
        <f aca="false">MAX(0,(B17)*(1+Assumptions!$B$13)-C14)</f>
        <v>6394436.28713762</v>
      </c>
      <c r="D17" s="77" t="n">
        <f aca="false">MAX(0,(C17)*(1+Assumptions!$B$13)-D14)</f>
        <v>5877720.17854587</v>
      </c>
      <c r="E17" s="77" t="n">
        <f aca="false">MAX(0,(D17)*(1+Assumptions!$B$13)-E14)</f>
        <v>5303089.30704186</v>
      </c>
      <c r="F17" s="77" t="n">
        <f aca="false">MAX(0,(E17)*(1+Assumptions!$B$13)-F14)</f>
        <v>4666513.76065493</v>
      </c>
      <c r="G17" s="77" t="n">
        <f aca="false">MAX(0,(F17)*(1+Assumptions!$B$13)-G14)</f>
        <v>3963723.61814874</v>
      </c>
      <c r="H17" s="77" t="n">
        <f aca="false">MAX(0,(G17)*(1+Assumptions!$B$13)-H14)</f>
        <v>3190195.72326237</v>
      </c>
      <c r="I17" s="77" t="n">
        <f aca="false">MAX(0,(H17)*(1+Assumptions!$B$13)-I14)</f>
        <v>2341139.76315333</v>
      </c>
      <c r="J17" s="77" t="n">
        <f aca="false">MAX(0,(I17)*(1+Assumptions!$B$13)-J14)</f>
        <v>1411483.61553908</v>
      </c>
      <c r="K17" s="77" t="n">
        <f aca="false">MAX(0,(J17)*(1+Assumptions!$B$13)-K14)</f>
        <v>395857.927260753</v>
      </c>
      <c r="L17" s="77" t="n">
        <f aca="false">MAX(0,(K17)*(1+Assumptions!$B$13)-L14)</f>
        <v>0</v>
      </c>
      <c r="M17" s="77" t="n">
        <f aca="false">MAX(0,(L17)*(1+Assumptions!$B$13)-M14)</f>
        <v>0</v>
      </c>
      <c r="N17" s="77" t="n">
        <f aca="false">MAX(0,(M17)*(1+Assumptions!$B$13)-N14)</f>
        <v>0</v>
      </c>
      <c r="O17" s="77" t="n">
        <f aca="false">MAX(0,(N17)*(1+Assumptions!$B$13)-O14)</f>
        <v>0</v>
      </c>
      <c r="P17" s="77" t="n">
        <f aca="false">MAX(0,(O17)*(1+Assumptions!$B$13)-P14)</f>
        <v>0</v>
      </c>
      <c r="Q17" s="77" t="n">
        <f aca="false">MAX(0,(P17)*(1+Assumptions!$B$13)-Q14)</f>
        <v>0</v>
      </c>
      <c r="R17" s="77" t="n">
        <f aca="false">MAX(0,(Q17)*(1+Assumptions!$B$13)-R14)</f>
        <v>0</v>
      </c>
      <c r="S17" s="77" t="n">
        <f aca="false">MAX(0,(R17)*(1+Assumptions!$B$13)-S14)</f>
        <v>0</v>
      </c>
      <c r="T17" s="77" t="n">
        <f aca="false">MAX(0,(S17)*(1+Assumptions!$B$13)-T14)</f>
        <v>0</v>
      </c>
      <c r="U17" s="77" t="n">
        <f aca="false">MAX(0,(T17)*(1+Assumptions!$B$13)-U14)</f>
        <v>0</v>
      </c>
      <c r="V17" s="70" t="s">
        <v>237</v>
      </c>
      <c r="W17" s="70" t="s">
        <v>237</v>
      </c>
      <c r="X17" s="70" t="s">
        <v>237</v>
      </c>
      <c r="Y17" s="70" t="s">
        <v>237</v>
      </c>
      <c r="Z17" s="70" t="s">
        <v>237</v>
      </c>
    </row>
    <row r="18" customFormat="false" ht="15" hidden="false" customHeight="true" outlineLevel="0" collapsed="false"/>
    <row r="19" customFormat="false" ht="21.75" hidden="false" customHeight="true" outlineLevel="0" collapsed="false">
      <c r="A19" s="64" t="s">
        <v>243</v>
      </c>
    </row>
    <row r="20" customFormat="false" ht="24" hidden="false" customHeight="true" outlineLevel="0" collapsed="false">
      <c r="A20" s="65" t="s">
        <v>230</v>
      </c>
      <c r="B20" s="66" t="n">
        <v>2026</v>
      </c>
      <c r="C20" s="67" t="n">
        <v>2027</v>
      </c>
      <c r="D20" s="67" t="n">
        <v>2028</v>
      </c>
      <c r="E20" s="67" t="n">
        <v>2029</v>
      </c>
      <c r="F20" s="67" t="n">
        <v>2030</v>
      </c>
      <c r="G20" s="66" t="n">
        <v>2031</v>
      </c>
      <c r="H20" s="67" t="n">
        <v>2032</v>
      </c>
      <c r="I20" s="67" t="n">
        <v>2033</v>
      </c>
      <c r="J20" s="67" t="n">
        <v>2034</v>
      </c>
      <c r="K20" s="67" t="n">
        <v>2035</v>
      </c>
      <c r="L20" s="66" t="n">
        <v>2036</v>
      </c>
      <c r="M20" s="67" t="n">
        <v>2037</v>
      </c>
      <c r="N20" s="67" t="n">
        <v>2038</v>
      </c>
      <c r="O20" s="67" t="n">
        <v>2039</v>
      </c>
      <c r="P20" s="67" t="n">
        <v>2040</v>
      </c>
      <c r="Q20" s="66" t="n">
        <v>2041</v>
      </c>
      <c r="R20" s="67" t="n">
        <v>2042</v>
      </c>
      <c r="S20" s="67" t="n">
        <v>2043</v>
      </c>
      <c r="T20" s="67" t="n">
        <v>2044</v>
      </c>
      <c r="U20" s="67" t="n">
        <v>2045</v>
      </c>
      <c r="V20" s="65" t="s">
        <v>231</v>
      </c>
      <c r="W20" s="65" t="s">
        <v>232</v>
      </c>
      <c r="X20" s="65" t="s">
        <v>233</v>
      </c>
      <c r="Y20" s="65" t="s">
        <v>234</v>
      </c>
      <c r="Z20" s="65" t="s">
        <v>235</v>
      </c>
    </row>
    <row r="21" customFormat="false" ht="15" hidden="false" customHeight="true" outlineLevel="0" collapsed="false">
      <c r="A21" s="68" t="s">
        <v>236</v>
      </c>
      <c r="B21" s="78" t="n">
        <f aca="false">Scenario_Analysis_4Cases!$C$7*(1+Scenario_Analysis_4Cases!$F$5)^0</f>
        <v>50000000</v>
      </c>
      <c r="C21" s="69" t="n">
        <f aca="false">B21*(1+Scenario_Analysis_4Cases!$D$5)</f>
        <v>52000000</v>
      </c>
      <c r="D21" s="69" t="n">
        <f aca="false">C21*(1+Scenario_Analysis_4Cases!$D$5)</f>
        <v>54080000</v>
      </c>
      <c r="E21" s="69" t="n">
        <f aca="false">D21*(1+Scenario_Analysis_4Cases!$D$5)</f>
        <v>56243200</v>
      </c>
      <c r="F21" s="69" t="n">
        <f aca="false">E21*(1+Scenario_Analysis_4Cases!$D$5)</f>
        <v>58492928</v>
      </c>
      <c r="G21" s="78" t="n">
        <f aca="false">Scenario_Analysis_4Cases!$C$7*(1+Scenario_Analysis_4Cases!$F$5)^5</f>
        <v>56570410.6445312</v>
      </c>
      <c r="H21" s="69" t="n">
        <f aca="false">G21*(1+Scenario_Analysis_4Cases!$D$5)</f>
        <v>58833227.0703125</v>
      </c>
      <c r="I21" s="69" t="n">
        <f aca="false">H21*(1+Scenario_Analysis_4Cases!$D$5)</f>
        <v>61186556.153125</v>
      </c>
      <c r="J21" s="69" t="n">
        <f aca="false">I21*(1+Scenario_Analysis_4Cases!$D$5)</f>
        <v>63634018.39925</v>
      </c>
      <c r="K21" s="69" t="n">
        <f aca="false">J21*(1+Scenario_Analysis_4Cases!$D$5)</f>
        <v>66179379.13522</v>
      </c>
      <c r="L21" s="78" t="n">
        <f aca="false">Scenario_Analysis_4Cases!$C$7*(1+Scenario_Analysis_4Cases!$F$5)^10</f>
        <v>64004227.2098178</v>
      </c>
      <c r="M21" s="69" t="n">
        <f aca="false">L21*(1+Scenario_Analysis_4Cases!$D$5)</f>
        <v>66564396.2982106</v>
      </c>
      <c r="N21" s="69" t="n">
        <f aca="false">M21*(1+Scenario_Analysis_4Cases!$D$5)</f>
        <v>69226972.150139</v>
      </c>
      <c r="O21" s="69" t="n">
        <f aca="false">N21*(1+Scenario_Analysis_4Cases!$D$5)</f>
        <v>71996051.0361445</v>
      </c>
      <c r="P21" s="69" t="n">
        <f aca="false">O21*(1+Scenario_Analysis_4Cases!$D$5)</f>
        <v>74875893.0775903</v>
      </c>
      <c r="Q21" s="78" t="n">
        <f aca="false">Scenario_Analysis_4Cases!$C$7*(1+Scenario_Analysis_4Cases!$F$5)^15</f>
        <v>72414908.3249055</v>
      </c>
      <c r="R21" s="69" t="n">
        <f aca="false">Q21*(1+Scenario_Analysis_4Cases!$D$5)</f>
        <v>75311504.6579017</v>
      </c>
      <c r="S21" s="69" t="n">
        <f aca="false">R21*(1+Scenario_Analysis_4Cases!$D$5)</f>
        <v>78323964.8442178</v>
      </c>
      <c r="T21" s="69" t="n">
        <f aca="false">S21*(1+Scenario_Analysis_4Cases!$D$5)</f>
        <v>81456923.4379865</v>
      </c>
      <c r="U21" s="69" t="n">
        <f aca="false">T21*(1+Scenario_Analysis_4Cases!$D$5)</f>
        <v>84715200.375506</v>
      </c>
      <c r="V21" s="70" t="s">
        <v>237</v>
      </c>
      <c r="W21" s="70" t="s">
        <v>237</v>
      </c>
      <c r="X21" s="70" t="s">
        <v>237</v>
      </c>
      <c r="Y21" s="70" t="s">
        <v>237</v>
      </c>
      <c r="Z21" s="70" t="s">
        <v>237</v>
      </c>
    </row>
    <row r="22" customFormat="false" ht="15" hidden="false" customHeight="true" outlineLevel="0" collapsed="false">
      <c r="A22" s="71" t="s">
        <v>238</v>
      </c>
      <c r="B22" s="79" t="n">
        <f aca="false">-B21*Assumptions!$B$4*Assumptions!$B$5</f>
        <v>-799162.5</v>
      </c>
      <c r="C22" s="79" t="n">
        <f aca="false">-C21*Assumptions!$B$4*Assumptions!$B$5</f>
        <v>-831129</v>
      </c>
      <c r="D22" s="79" t="n">
        <f aca="false">-D21*Assumptions!$B$4*Assumptions!$B$5</f>
        <v>-864374.16</v>
      </c>
      <c r="E22" s="79" t="n">
        <f aca="false">-E21*Assumptions!$B$4*Assumptions!$B$5</f>
        <v>-898949.1264</v>
      </c>
      <c r="F22" s="79" t="n">
        <f aca="false">-F21*Assumptions!$B$4*Assumptions!$B$5</f>
        <v>-934907.091456</v>
      </c>
      <c r="G22" s="79" t="n">
        <f aca="false">-G21*Assumptions!$B$4*Assumptions!$B$5</f>
        <v>-904179.015934204</v>
      </c>
      <c r="H22" s="79" t="n">
        <f aca="false">-H21*Assumptions!$B$4*Assumptions!$B$5</f>
        <v>-940346.176571572</v>
      </c>
      <c r="I22" s="79" t="n">
        <f aca="false">-I21*Assumptions!$B$4*Assumptions!$B$5</f>
        <v>-977960.023634435</v>
      </c>
      <c r="J22" s="79" t="n">
        <f aca="false">-J21*Assumptions!$B$4*Assumptions!$B$5</f>
        <v>-1017078.42457981</v>
      </c>
      <c r="K22" s="79" t="n">
        <f aca="false">-K21*Assumptions!$B$4*Assumptions!$B$5</f>
        <v>-1057761.561563</v>
      </c>
      <c r="L22" s="79" t="n">
        <f aca="false">-L21*Assumptions!$B$4*Assumptions!$B$5</f>
        <v>-1022995.56455132</v>
      </c>
      <c r="M22" s="79" t="n">
        <f aca="false">-M21*Assumptions!$B$4*Assumptions!$B$5</f>
        <v>-1063915.38713337</v>
      </c>
      <c r="N22" s="79" t="n">
        <f aca="false">-N21*Assumptions!$B$4*Assumptions!$B$5</f>
        <v>-1106472.00261871</v>
      </c>
      <c r="O22" s="79" t="n">
        <f aca="false">-O21*Assumptions!$B$4*Assumptions!$B$5</f>
        <v>-1150730.88272346</v>
      </c>
      <c r="P22" s="79" t="n">
        <f aca="false">-P21*Assumptions!$B$4*Assumptions!$B$5</f>
        <v>-1196760.1180324</v>
      </c>
      <c r="Q22" s="79" t="n">
        <f aca="false">-Q21*Assumptions!$B$4*Assumptions!$B$5</f>
        <v>-1157425.58348405</v>
      </c>
      <c r="R22" s="79" t="n">
        <f aca="false">-R21*Assumptions!$B$4*Assumptions!$B$5</f>
        <v>-1203722.60682341</v>
      </c>
      <c r="S22" s="79" t="n">
        <f aca="false">-S21*Assumptions!$B$4*Assumptions!$B$5</f>
        <v>-1251871.51109634</v>
      </c>
      <c r="T22" s="79" t="n">
        <f aca="false">-T21*Assumptions!$B$4*Assumptions!$B$5</f>
        <v>-1301946.3715402</v>
      </c>
      <c r="U22" s="79" t="n">
        <f aca="false">-U21*Assumptions!$B$4*Assumptions!$B$5</f>
        <v>-1354024.22640181</v>
      </c>
      <c r="V22" s="79" t="n">
        <f aca="false">SUM(B22:U22)</f>
        <v>-21035711.3345441</v>
      </c>
      <c r="W22" s="79" t="n">
        <f aca="false">NPV(Scenario_Analysis_4Cases!$B$6,B22:U22)</f>
        <v>-12578976.5069116</v>
      </c>
      <c r="X22" s="79" t="n">
        <f aca="false">NPV(Scenario_Analysis_4Cases!$C$6,B22:U22)</f>
        <v>-11487527.4441195</v>
      </c>
      <c r="Y22" s="79" t="n">
        <f aca="false">NPV(Scenario_Analysis_4Cases!$D$6,B22:U22)</f>
        <v>-10530003.7561859</v>
      </c>
      <c r="Z22" s="79" t="n">
        <f aca="false">NPV(Scenario_Analysis_4Cases!$E$6,B22:U22)</f>
        <v>-9687066.21512679</v>
      </c>
    </row>
    <row r="23" customFormat="false" ht="15" hidden="false" customHeight="true" outlineLevel="0" collapsed="false">
      <c r="A23" s="71" t="s">
        <v>239</v>
      </c>
      <c r="B23" s="69" t="n">
        <f aca="false">MIN(MAX(0,B21*Assumptions!$B$4-Assumptions!$B$9)*Assumptions!$B$5*(1-Assumptions!$B$7),(Assumptions!$B$15)*(1+Assumptions!$B$13))</f>
        <v>676460.879874</v>
      </c>
      <c r="C23" s="69" t="n">
        <f aca="false">MIN(MAX(0,C21*Assumptions!$B$4-Assumptions!$B$9)*Assumptions!$B$5*(1-Assumptions!$B$7),(B26)*(1+Assumptions!$B$13))</f>
        <v>705230.729874</v>
      </c>
      <c r="D23" s="69" t="n">
        <f aca="false">MIN(MAX(0,D21*Assumptions!$B$4-Assumptions!$B$9)*Assumptions!$B$5*(1-Assumptions!$B$7),(C26)*(1+Assumptions!$B$13))</f>
        <v>735151.373874</v>
      </c>
      <c r="E23" s="69" t="n">
        <f aca="false">MIN(MAX(0,E21*Assumptions!$B$4-Assumptions!$B$9)*Assumptions!$B$5*(1-Assumptions!$B$7),(D26)*(1+Assumptions!$B$13))</f>
        <v>766268.843634</v>
      </c>
      <c r="F23" s="69" t="n">
        <f aca="false">MIN(MAX(0,F21*Assumptions!$B$4-Assumptions!$B$9)*Assumptions!$B$5*(1-Assumptions!$B$7),(E26)*(1+Assumptions!$B$13))</f>
        <v>798631.0121844</v>
      </c>
      <c r="G23" s="69" t="n">
        <f aca="false">MIN(MAX(0,G21*Assumptions!$B$4-Assumptions!$B$9)*Assumptions!$B$5*(1-Assumptions!$B$7),(F26)*(1+Assumptions!$B$13))</f>
        <v>770975.744214783</v>
      </c>
      <c r="H23" s="69" t="n">
        <f aca="false">MIN(MAX(0,H21*Assumptions!$B$4-Assumptions!$B$9)*Assumptions!$B$5*(1-Assumptions!$B$7),(G26)*(1+Assumptions!$B$13))</f>
        <v>803526.188788415</v>
      </c>
      <c r="I23" s="69" t="n">
        <f aca="false">MIN(MAX(0,I21*Assumptions!$B$4-Assumptions!$B$9)*Assumptions!$B$5*(1-Assumptions!$B$7),(H26)*(1+Assumptions!$B$13))</f>
        <v>837378.651144991</v>
      </c>
      <c r="J23" s="69" t="n">
        <f aca="false">MIN(MAX(0,J21*Assumptions!$B$4-Assumptions!$B$9)*Assumptions!$B$5*(1-Assumptions!$B$7),(I26)*(1+Assumptions!$B$13))</f>
        <v>872585.211995831</v>
      </c>
      <c r="K23" s="69" t="n">
        <f aca="false">MIN(MAX(0,K21*Assumptions!$B$4-Assumptions!$B$9)*Assumptions!$B$5*(1-Assumptions!$B$7),(J26)*(1+Assumptions!$B$13))</f>
        <v>909200.035280704</v>
      </c>
      <c r="L23" s="69" t="n">
        <f aca="false">MIN(MAX(0,L21*Assumptions!$B$4-Assumptions!$B$9)*Assumptions!$B$5*(1-Assumptions!$B$7),(K26)*(1+Assumptions!$B$13))</f>
        <v>877910.637970189</v>
      </c>
      <c r="M23" s="69" t="n">
        <f aca="false">MIN(MAX(0,M21*Assumptions!$B$4-Assumptions!$B$9)*Assumptions!$B$5*(1-Assumptions!$B$7),(L26)*(1+Assumptions!$B$13))</f>
        <v>914738.478294036</v>
      </c>
      <c r="N23" s="69" t="n">
        <f aca="false">MIN(MAX(0,N21*Assumptions!$B$4-Assumptions!$B$9)*Assumptions!$B$5*(1-Assumptions!$B$7),(M26)*(1+Assumptions!$B$13))</f>
        <v>121127.048785962</v>
      </c>
      <c r="O23" s="69" t="n">
        <f aca="false">MIN(MAX(0,O21*Assumptions!$B$4-Assumptions!$B$9)*Assumptions!$B$5*(1-Assumptions!$B$7),(N26)*(1+Assumptions!$B$13))</f>
        <v>0</v>
      </c>
      <c r="P23" s="69" t="n">
        <f aca="false">MIN(MAX(0,P21*Assumptions!$B$4-Assumptions!$B$9)*Assumptions!$B$5*(1-Assumptions!$B$7),(O26)*(1+Assumptions!$B$13))</f>
        <v>0</v>
      </c>
      <c r="Q23" s="69" t="n">
        <f aca="false">MIN(MAX(0,Q21*Assumptions!$B$4-Assumptions!$B$9)*Assumptions!$B$5*(1-Assumptions!$B$7),(P26)*(1+Assumptions!$B$13))</f>
        <v>0</v>
      </c>
      <c r="R23" s="69" t="n">
        <f aca="false">MIN(MAX(0,R21*Assumptions!$B$4-Assumptions!$B$9)*Assumptions!$B$5*(1-Assumptions!$B$7),(Q26)*(1+Assumptions!$B$13))</f>
        <v>0</v>
      </c>
      <c r="S23" s="69" t="n">
        <f aca="false">MIN(MAX(0,S21*Assumptions!$B$4-Assumptions!$B$9)*Assumptions!$B$5*(1-Assumptions!$B$7),(R26)*(1+Assumptions!$B$13))</f>
        <v>0</v>
      </c>
      <c r="T23" s="69" t="n">
        <f aca="false">MIN(MAX(0,T21*Assumptions!$B$4-Assumptions!$B$9)*Assumptions!$B$5*(1-Assumptions!$B$7),(S26)*(1+Assumptions!$B$13))</f>
        <v>0</v>
      </c>
      <c r="U23" s="69" t="n">
        <f aca="false">MIN(MAX(0,U21*Assumptions!$B$4-Assumptions!$B$9)*Assumptions!$B$5*(1-Assumptions!$B$7),(T26)*(1+Assumptions!$B$13))</f>
        <v>0</v>
      </c>
      <c r="V23" s="72" t="n">
        <f aca="false">SUM(B23:U23)</f>
        <v>9789184.83591531</v>
      </c>
      <c r="W23" s="73" t="n">
        <f aca="false">NPV(Scenario_Analysis_4Cases!$B$6,B23:U23)</f>
        <v>7095799.54829064</v>
      </c>
      <c r="X23" s="73" t="n">
        <f aca="false">NPV(Scenario_Analysis_4Cases!$C$6,B23:U23)</f>
        <v>6688123.86268622</v>
      </c>
      <c r="Y23" s="73" t="n">
        <f aca="false">NPV(Scenario_Analysis_4Cases!$D$6,B23:U23)</f>
        <v>6314098.88823291</v>
      </c>
      <c r="Z23" s="73" t="n">
        <f aca="false">NPV(Scenario_Analysis_4Cases!$E$6,B23:U23)</f>
        <v>5970391.08549385</v>
      </c>
    </row>
    <row r="24" customFormat="false" ht="15" hidden="false" customHeight="true" outlineLevel="0" collapsed="false">
      <c r="A24" s="71" t="s">
        <v>240</v>
      </c>
      <c r="B24" s="78" t="n">
        <f aca="false">-Scenario_Analysis_4Cases!$B$5*MAX(0,(Scenario_Analysis_4Cases!$B$7*(1+Scenario_Analysis_4Cases!$D$5)^0-B21))*Assumptions!$B$4*Assumptions!$B$5</f>
        <v>-19443.623625</v>
      </c>
      <c r="C24" s="69" t="n">
        <v>0</v>
      </c>
      <c r="D24" s="69" t="n">
        <v>0</v>
      </c>
      <c r="E24" s="69" t="n">
        <v>0</v>
      </c>
      <c r="F24" s="69" t="n">
        <v>0</v>
      </c>
      <c r="G24" s="78" t="n">
        <f aca="false">-Scenario_Analysis_4Cases!$B$5*MAX(0,(Scenario_Analysis_4Cases!$B$7*(1+Scenario_Analysis_4Cases!$D$5)^5-G21))*Assumptions!$B$4*Assumptions!$B$5</f>
        <v>-40687.2309115386</v>
      </c>
      <c r="H24" s="69" t="n">
        <v>0</v>
      </c>
      <c r="I24" s="69" t="n">
        <v>0</v>
      </c>
      <c r="J24" s="69" t="n">
        <v>0</v>
      </c>
      <c r="K24" s="69" t="n">
        <v>0</v>
      </c>
      <c r="L24" s="78" t="n">
        <f aca="false">-Scenario_Analysis_4Cases!$B$5*MAX(0,(Scenario_Analysis_4Cases!$B$7*(1+Scenario_Analysis_4Cases!$D$5)^10-L21))*Assumptions!$B$4*Assumptions!$B$5</f>
        <v>-68771.3524476934</v>
      </c>
      <c r="M24" s="69" t="n">
        <v>0</v>
      </c>
      <c r="N24" s="69" t="n">
        <v>0</v>
      </c>
      <c r="O24" s="69" t="n">
        <v>0</v>
      </c>
      <c r="P24" s="69" t="n">
        <v>0</v>
      </c>
      <c r="Q24" s="78" t="n">
        <f aca="false">-Scenario_Analysis_4Cases!$B$5*MAX(0,(Scenario_Analysis_4Cases!$B$7*(1+Scenario_Analysis_4Cases!$D$5)^15-Q21))*Assumptions!$B$4*Assumptions!$B$5</f>
        <v>-105472.100374871</v>
      </c>
      <c r="R24" s="69" t="n">
        <v>0</v>
      </c>
      <c r="S24" s="69" t="n">
        <v>0</v>
      </c>
      <c r="T24" s="69" t="n">
        <v>0</v>
      </c>
      <c r="U24" s="69" t="n">
        <v>0</v>
      </c>
      <c r="V24" s="72" t="n">
        <f aca="false">SUM(B24:U24)</f>
        <v>-234374.307359103</v>
      </c>
      <c r="W24" s="73" t="n">
        <f aca="false">NPV(Scenario_Analysis_4Cases!$B$6,B24:U24)</f>
        <v>-137406.344827406</v>
      </c>
      <c r="X24" s="73" t="n">
        <f aca="false">NPV(Scenario_Analysis_4Cases!$C$6,B24:U24)</f>
        <v>-124772.524369757</v>
      </c>
      <c r="Y24" s="73" t="n">
        <f aca="false">NPV(Scenario_Analysis_4Cases!$D$6,B24:U24)</f>
        <v>-113683.054435992</v>
      </c>
      <c r="Z24" s="73" t="n">
        <f aca="false">NPV(Scenario_Analysis_4Cases!$E$6,B24:U24)</f>
        <v>-103924.367302113</v>
      </c>
    </row>
    <row r="25" customFormat="false" ht="15" hidden="false" customHeight="true" outlineLevel="0" collapsed="false">
      <c r="A25" s="74" t="s">
        <v>241</v>
      </c>
      <c r="B25" s="75" t="n">
        <f aca="false">B22+B23+B24</f>
        <v>-142145.243751</v>
      </c>
      <c r="C25" s="75" t="n">
        <f aca="false">C22+C23+C24</f>
        <v>-125898.270126</v>
      </c>
      <c r="D25" s="75" t="n">
        <f aca="false">D22+D23+D24</f>
        <v>-129222.786126</v>
      </c>
      <c r="E25" s="75" t="n">
        <f aca="false">E22+E23+E24</f>
        <v>-132680.282766</v>
      </c>
      <c r="F25" s="75" t="n">
        <f aca="false">F22+F23+F24</f>
        <v>-136276.0792716</v>
      </c>
      <c r="G25" s="75" t="n">
        <f aca="false">G22+G23+G24</f>
        <v>-173890.502630959</v>
      </c>
      <c r="H25" s="75" t="n">
        <f aca="false">H22+H23+H24</f>
        <v>-136819.987783157</v>
      </c>
      <c r="I25" s="75" t="n">
        <f aca="false">I22+I23+I24</f>
        <v>-140581.372489444</v>
      </c>
      <c r="J25" s="75" t="n">
        <f aca="false">J22+J23+J24</f>
        <v>-144493.212583981</v>
      </c>
      <c r="K25" s="75" t="n">
        <f aca="false">K22+K23+K24</f>
        <v>-148561.5262823</v>
      </c>
      <c r="L25" s="75" t="n">
        <f aca="false">L22+L23+L24</f>
        <v>-213856.279028826</v>
      </c>
      <c r="M25" s="75" t="n">
        <f aca="false">M22+M23+M24</f>
        <v>-149176.908839337</v>
      </c>
      <c r="N25" s="75" t="n">
        <f aca="false">N22+N23+N24</f>
        <v>-985344.953832747</v>
      </c>
      <c r="O25" s="75" t="n">
        <f aca="false">O22+O23+O24</f>
        <v>-1150730.88272346</v>
      </c>
      <c r="P25" s="75" t="n">
        <f aca="false">P22+P23+P24</f>
        <v>-1196760.1180324</v>
      </c>
      <c r="Q25" s="75" t="n">
        <f aca="false">Q22+Q23+Q24</f>
        <v>-1262897.68385892</v>
      </c>
      <c r="R25" s="75" t="n">
        <f aca="false">R22+R23+R24</f>
        <v>-1203722.60682341</v>
      </c>
      <c r="S25" s="75" t="n">
        <f aca="false">S22+S23+S24</f>
        <v>-1251871.51109634</v>
      </c>
      <c r="T25" s="75" t="n">
        <f aca="false">T22+T23+T24</f>
        <v>-1301946.3715402</v>
      </c>
      <c r="U25" s="75" t="n">
        <f aca="false">U22+U23+U24</f>
        <v>-1354024.22640181</v>
      </c>
      <c r="V25" s="75" t="n">
        <f aca="false">SUM(B25:U25)</f>
        <v>-11480900.8059879</v>
      </c>
      <c r="W25" s="75" t="n">
        <f aca="false">NPV(Scenario_Analysis_4Cases!$B$6,B25:U25)</f>
        <v>-5620583.30344834</v>
      </c>
      <c r="X25" s="75" t="n">
        <f aca="false">NPV(Scenario_Analysis_4Cases!$C$6,B25:U25)</f>
        <v>-4924176.10580307</v>
      </c>
      <c r="Y25" s="75" t="n">
        <f aca="false">NPV(Scenario_Analysis_4Cases!$D$6,B25:U25)</f>
        <v>-4329587.92238897</v>
      </c>
      <c r="Z25" s="75" t="n">
        <f aca="false">NPV(Scenario_Analysis_4Cases!$E$6,B25:U25)</f>
        <v>-3820599.49693506</v>
      </c>
    </row>
    <row r="26" customFormat="false" ht="15" hidden="false" customHeight="true" outlineLevel="0" collapsed="false">
      <c r="A26" s="76" t="s">
        <v>242</v>
      </c>
      <c r="B26" s="77" t="n">
        <f aca="false">MAX(0,(Assumptions!$B$15)*(1+Assumptions!$B$13)-B23)</f>
        <v>6927037.144346</v>
      </c>
      <c r="C26" s="77" t="n">
        <f aca="false">MAX(0,(B26)*(1+Assumptions!$B$13)-C23)</f>
        <v>6540450.12311192</v>
      </c>
      <c r="D26" s="77" t="n">
        <f aca="false">MAX(0,(C26)*(1+Assumptions!$B$13)-D23)</f>
        <v>6106159.45490107</v>
      </c>
      <c r="E26" s="77" t="n">
        <f aca="false">MAX(0,(D26)*(1+Assumptions!$B$13)-E23)</f>
        <v>5620773.94619251</v>
      </c>
      <c r="F26" s="77" t="n">
        <f aca="false">MAX(0,(E26)*(1+Assumptions!$B$13)-F23)</f>
        <v>5080698.53553297</v>
      </c>
      <c r="G26" s="77" t="n">
        <f aca="false">MAX(0,(F26)*(1+Assumptions!$B$13)-G23)</f>
        <v>4543434.9239527</v>
      </c>
      <c r="H26" s="77" t="n">
        <f aca="false">MAX(0,(G26)*(1+Assumptions!$B$13)-H23)</f>
        <v>3948906.74166611</v>
      </c>
      <c r="I26" s="77" t="n">
        <f aca="false">MAX(0,(H26)*(1+Assumptions!$B$13)-I23)</f>
        <v>3293177.80063776</v>
      </c>
      <c r="J26" s="77" t="n">
        <f aca="false">MAX(0,(I26)*(1+Assumptions!$B$13)-J23)</f>
        <v>2572078.76747127</v>
      </c>
      <c r="K26" s="77" t="n">
        <f aca="false">MAX(0,(J26)*(1+Assumptions!$B$13)-K23)</f>
        <v>1781194.35549425</v>
      </c>
      <c r="L26" s="77" t="n">
        <f aca="false">MAX(0,(K26)*(1+Assumptions!$B$13)-L23)</f>
        <v>985218.657876791</v>
      </c>
      <c r="M26" s="77" t="n">
        <f aca="false">MAX(0,(L26)*(1+Assumptions!$B$13)-M23)</f>
        <v>115800.237845088</v>
      </c>
      <c r="N26" s="77" t="n">
        <f aca="false">MAX(0,(M26)*(1+Assumptions!$B$13)-N23)</f>
        <v>0</v>
      </c>
      <c r="O26" s="77" t="n">
        <f aca="false">MAX(0,(N26)*(1+Assumptions!$B$13)-O23)</f>
        <v>0</v>
      </c>
      <c r="P26" s="77" t="n">
        <f aca="false">MAX(0,(O26)*(1+Assumptions!$B$13)-P23)</f>
        <v>0</v>
      </c>
      <c r="Q26" s="77" t="n">
        <f aca="false">MAX(0,(P26)*(1+Assumptions!$B$13)-Q23)</f>
        <v>0</v>
      </c>
      <c r="R26" s="77" t="n">
        <f aca="false">MAX(0,(Q26)*(1+Assumptions!$B$13)-R23)</f>
        <v>0</v>
      </c>
      <c r="S26" s="77" t="n">
        <f aca="false">MAX(0,(R26)*(1+Assumptions!$B$13)-S23)</f>
        <v>0</v>
      </c>
      <c r="T26" s="77" t="n">
        <f aca="false">MAX(0,(S26)*(1+Assumptions!$B$13)-T23)</f>
        <v>0</v>
      </c>
      <c r="U26" s="77" t="n">
        <f aca="false">MAX(0,(T26)*(1+Assumptions!$B$13)-U23)</f>
        <v>0</v>
      </c>
      <c r="V26" s="70" t="s">
        <v>237</v>
      </c>
      <c r="W26" s="70" t="s">
        <v>237</v>
      </c>
      <c r="X26" s="70" t="s">
        <v>237</v>
      </c>
      <c r="Y26" s="70" t="s">
        <v>237</v>
      </c>
      <c r="Z26" s="70" t="s">
        <v>237</v>
      </c>
    </row>
    <row r="27" customFormat="false" ht="15" hidden="false" customHeight="true" outlineLevel="0" collapsed="false"/>
    <row r="28" customFormat="false" ht="21.75" hidden="false" customHeight="true" outlineLevel="0" collapsed="false">
      <c r="A28" s="64" t="s">
        <v>244</v>
      </c>
    </row>
    <row r="29" customFormat="false" ht="24" hidden="false" customHeight="true" outlineLevel="0" collapsed="false">
      <c r="A29" s="65" t="s">
        <v>230</v>
      </c>
      <c r="B29" s="66" t="n">
        <v>2026</v>
      </c>
      <c r="C29" s="67" t="n">
        <v>2027</v>
      </c>
      <c r="D29" s="67" t="n">
        <v>2028</v>
      </c>
      <c r="E29" s="67" t="n">
        <v>2029</v>
      </c>
      <c r="F29" s="67" t="n">
        <v>2030</v>
      </c>
      <c r="G29" s="66" t="n">
        <v>2031</v>
      </c>
      <c r="H29" s="67" t="n">
        <v>2032</v>
      </c>
      <c r="I29" s="67" t="n">
        <v>2033</v>
      </c>
      <c r="J29" s="67" t="n">
        <v>2034</v>
      </c>
      <c r="K29" s="67" t="n">
        <v>2035</v>
      </c>
      <c r="L29" s="66" t="n">
        <v>2036</v>
      </c>
      <c r="M29" s="67" t="n">
        <v>2037</v>
      </c>
      <c r="N29" s="67" t="n">
        <v>2038</v>
      </c>
      <c r="O29" s="67" t="n">
        <v>2039</v>
      </c>
      <c r="P29" s="67" t="n">
        <v>2040</v>
      </c>
      <c r="Q29" s="66" t="n">
        <v>2041</v>
      </c>
      <c r="R29" s="67" t="n">
        <v>2042</v>
      </c>
      <c r="S29" s="67" t="n">
        <v>2043</v>
      </c>
      <c r="T29" s="67" t="n">
        <v>2044</v>
      </c>
      <c r="U29" s="67" t="n">
        <v>2045</v>
      </c>
      <c r="V29" s="65" t="s">
        <v>231</v>
      </c>
      <c r="W29" s="65" t="s">
        <v>232</v>
      </c>
      <c r="X29" s="65" t="s">
        <v>233</v>
      </c>
      <c r="Y29" s="65" t="s">
        <v>234</v>
      </c>
      <c r="Z29" s="65" t="s">
        <v>235</v>
      </c>
    </row>
    <row r="30" customFormat="false" ht="15" hidden="false" customHeight="true" outlineLevel="0" collapsed="false">
      <c r="A30" s="68" t="s">
        <v>236</v>
      </c>
      <c r="B30" s="78" t="n">
        <f aca="false">Scenario_Analysis_4Cases!$D$7*(1+Scenario_Analysis_4Cases!$F$5)^0</f>
        <v>47500000</v>
      </c>
      <c r="C30" s="69" t="n">
        <f aca="false">B30*(1+Scenario_Analysis_4Cases!$D$5)</f>
        <v>49400000</v>
      </c>
      <c r="D30" s="69" t="n">
        <f aca="false">C30*(1+Scenario_Analysis_4Cases!$D$5)</f>
        <v>51376000</v>
      </c>
      <c r="E30" s="69" t="n">
        <f aca="false">D30*(1+Scenario_Analysis_4Cases!$D$5)</f>
        <v>53431040</v>
      </c>
      <c r="F30" s="69" t="n">
        <f aca="false">E30*(1+Scenario_Analysis_4Cases!$D$5)</f>
        <v>55568281.6</v>
      </c>
      <c r="G30" s="78" t="n">
        <f aca="false">Scenario_Analysis_4Cases!$D$7*(1+Scenario_Analysis_4Cases!$F$5)^5</f>
        <v>53741890.1123047</v>
      </c>
      <c r="H30" s="69" t="n">
        <f aca="false">G30*(1+Scenario_Analysis_4Cases!$D$5)</f>
        <v>55891565.7167968</v>
      </c>
      <c r="I30" s="69" t="n">
        <f aca="false">H30*(1+Scenario_Analysis_4Cases!$D$5)</f>
        <v>58127228.3454687</v>
      </c>
      <c r="J30" s="69" t="n">
        <f aca="false">I30*(1+Scenario_Analysis_4Cases!$D$5)</f>
        <v>60452317.4792875</v>
      </c>
      <c r="K30" s="69" t="n">
        <f aca="false">J30*(1+Scenario_Analysis_4Cases!$D$5)</f>
        <v>62870410.178459</v>
      </c>
      <c r="L30" s="78" t="n">
        <f aca="false">Scenario_Analysis_4Cases!$D$7*(1+Scenario_Analysis_4Cases!$F$5)^10</f>
        <v>60804015.8493269</v>
      </c>
      <c r="M30" s="69" t="n">
        <f aca="false">L30*(1+Scenario_Analysis_4Cases!$D$5)</f>
        <v>63236176.4833</v>
      </c>
      <c r="N30" s="69" t="n">
        <f aca="false">M30*(1+Scenario_Analysis_4Cases!$D$5)</f>
        <v>65765623.542632</v>
      </c>
      <c r="O30" s="69" t="n">
        <f aca="false">N30*(1+Scenario_Analysis_4Cases!$D$5)</f>
        <v>68396248.4843373</v>
      </c>
      <c r="P30" s="69" t="n">
        <f aca="false">O30*(1+Scenario_Analysis_4Cases!$D$5)</f>
        <v>71132098.4237108</v>
      </c>
      <c r="Q30" s="78" t="n">
        <f aca="false">Scenario_Analysis_4Cases!$D$7*(1+Scenario_Analysis_4Cases!$F$5)^15</f>
        <v>68794162.9086602</v>
      </c>
      <c r="R30" s="69" t="n">
        <f aca="false">Q30*(1+Scenario_Analysis_4Cases!$D$5)</f>
        <v>71545929.4250066</v>
      </c>
      <c r="S30" s="69" t="n">
        <f aca="false">R30*(1+Scenario_Analysis_4Cases!$D$5)</f>
        <v>74407766.6020069</v>
      </c>
      <c r="T30" s="69" t="n">
        <f aca="false">S30*(1+Scenario_Analysis_4Cases!$D$5)</f>
        <v>77384077.2660872</v>
      </c>
      <c r="U30" s="69" t="n">
        <f aca="false">T30*(1+Scenario_Analysis_4Cases!$D$5)</f>
        <v>80479440.3567307</v>
      </c>
      <c r="V30" s="70" t="s">
        <v>237</v>
      </c>
      <c r="W30" s="70" t="s">
        <v>237</v>
      </c>
      <c r="X30" s="70" t="s">
        <v>237</v>
      </c>
      <c r="Y30" s="70" t="s">
        <v>237</v>
      </c>
      <c r="Z30" s="70" t="s">
        <v>237</v>
      </c>
    </row>
    <row r="31" customFormat="false" ht="15" hidden="false" customHeight="true" outlineLevel="0" collapsed="false">
      <c r="A31" s="71" t="s">
        <v>238</v>
      </c>
      <c r="B31" s="79" t="n">
        <f aca="false">-B30*Assumptions!$B$4*Assumptions!$B$5</f>
        <v>-759204.375</v>
      </c>
      <c r="C31" s="79" t="n">
        <f aca="false">-C30*Assumptions!$B$4*Assumptions!$B$5</f>
        <v>-789572.55</v>
      </c>
      <c r="D31" s="79" t="n">
        <f aca="false">-D30*Assumptions!$B$4*Assumptions!$B$5</f>
        <v>-821155.452</v>
      </c>
      <c r="E31" s="79" t="n">
        <f aca="false">-E30*Assumptions!$B$4*Assumptions!$B$5</f>
        <v>-854001.67008</v>
      </c>
      <c r="F31" s="79" t="n">
        <f aca="false">-F30*Assumptions!$B$4*Assumptions!$B$5</f>
        <v>-888161.7368832</v>
      </c>
      <c r="G31" s="79" t="n">
        <f aca="false">-G30*Assumptions!$B$4*Assumptions!$B$5</f>
        <v>-858970.065137493</v>
      </c>
      <c r="H31" s="79" t="n">
        <f aca="false">-H30*Assumptions!$B$4*Assumptions!$B$5</f>
        <v>-893328.867742993</v>
      </c>
      <c r="I31" s="79" t="n">
        <f aca="false">-I30*Assumptions!$B$4*Assumptions!$B$5</f>
        <v>-929062.022452713</v>
      </c>
      <c r="J31" s="79" t="n">
        <f aca="false">-J30*Assumptions!$B$4*Assumptions!$B$5</f>
        <v>-966224.503350822</v>
      </c>
      <c r="K31" s="79" t="n">
        <f aca="false">-K30*Assumptions!$B$4*Assumptions!$B$5</f>
        <v>-1004873.48348485</v>
      </c>
      <c r="L31" s="79" t="n">
        <f aca="false">-L30*Assumptions!$B$4*Assumptions!$B$5</f>
        <v>-971845.786323755</v>
      </c>
      <c r="M31" s="79" t="n">
        <f aca="false">-M30*Assumptions!$B$4*Assumptions!$B$5</f>
        <v>-1010719.61777671</v>
      </c>
      <c r="N31" s="79" t="n">
        <f aca="false">-N30*Assumptions!$B$4*Assumptions!$B$5</f>
        <v>-1051148.40248777</v>
      </c>
      <c r="O31" s="79" t="n">
        <f aca="false">-O30*Assumptions!$B$4*Assumptions!$B$5</f>
        <v>-1093194.33858728</v>
      </c>
      <c r="P31" s="79" t="n">
        <f aca="false">-P30*Assumptions!$B$4*Assumptions!$B$5</f>
        <v>-1136922.11213078</v>
      </c>
      <c r="Q31" s="79" t="n">
        <f aca="false">-Q30*Assumptions!$B$4*Assumptions!$B$5</f>
        <v>-1099554.30430984</v>
      </c>
      <c r="R31" s="79" t="n">
        <f aca="false">-R30*Assumptions!$B$4*Assumptions!$B$5</f>
        <v>-1143536.47648224</v>
      </c>
      <c r="S31" s="79" t="n">
        <f aca="false">-S30*Assumptions!$B$4*Assumptions!$B$5</f>
        <v>-1189277.93554153</v>
      </c>
      <c r="T31" s="79" t="n">
        <f aca="false">-T30*Assumptions!$B$4*Assumptions!$B$5</f>
        <v>-1236849.05296319</v>
      </c>
      <c r="U31" s="79" t="n">
        <f aca="false">-U30*Assumptions!$B$4*Assumptions!$B$5</f>
        <v>-1286323.01508172</v>
      </c>
      <c r="V31" s="79" t="n">
        <f aca="false">SUM(B31:U31)</f>
        <v>-19983925.7678169</v>
      </c>
      <c r="W31" s="79" t="n">
        <f aca="false">NPV(Scenario_Analysis_4Cases!$B$6,B31:U31)</f>
        <v>-11950027.681566</v>
      </c>
      <c r="X31" s="79" t="n">
        <f aca="false">NPV(Scenario_Analysis_4Cases!$C$6,B31:U31)</f>
        <v>-10913151.0719136</v>
      </c>
      <c r="Y31" s="79" t="n">
        <f aca="false">NPV(Scenario_Analysis_4Cases!$D$6,B31:U31)</f>
        <v>-10003503.5683766</v>
      </c>
      <c r="Z31" s="79" t="n">
        <f aca="false">NPV(Scenario_Analysis_4Cases!$E$6,B31:U31)</f>
        <v>-9202712.90437046</v>
      </c>
    </row>
    <row r="32" customFormat="false" ht="15" hidden="false" customHeight="true" outlineLevel="0" collapsed="false">
      <c r="A32" s="71" t="s">
        <v>239</v>
      </c>
      <c r="B32" s="69" t="n">
        <f aca="false">MIN(MAX(0,B30*Assumptions!$B$4-Assumptions!$B$9)*Assumptions!$B$5*(1-Assumptions!$B$7),(Assumptions!$B$15)*(1+Assumptions!$B$13))</f>
        <v>640498.567374</v>
      </c>
      <c r="C32" s="69" t="n">
        <f aca="false">MIN(MAX(0,C30*Assumptions!$B$4-Assumptions!$B$9)*Assumptions!$B$5*(1-Assumptions!$B$7),(B35)*(1+Assumptions!$B$13))</f>
        <v>667829.924874</v>
      </c>
      <c r="D32" s="69" t="n">
        <f aca="false">MIN(MAX(0,D30*Assumptions!$B$4-Assumptions!$B$9)*Assumptions!$B$5*(1-Assumptions!$B$7),(C35)*(1+Assumptions!$B$13))</f>
        <v>696254.536674</v>
      </c>
      <c r="E32" s="69" t="n">
        <f aca="false">MIN(MAX(0,E30*Assumptions!$B$4-Assumptions!$B$9)*Assumptions!$B$5*(1-Assumptions!$B$7),(D35)*(1+Assumptions!$B$13))</f>
        <v>725816.132946</v>
      </c>
      <c r="F32" s="69" t="n">
        <f aca="false">MIN(MAX(0,F30*Assumptions!$B$4-Assumptions!$B$9)*Assumptions!$B$5*(1-Assumptions!$B$7),(E35)*(1+Assumptions!$B$13))</f>
        <v>756560.19306888</v>
      </c>
      <c r="G32" s="69" t="n">
        <f aca="false">MIN(MAX(0,G30*Assumptions!$B$4-Assumptions!$B$9)*Assumptions!$B$5*(1-Assumptions!$B$7),(F35)*(1+Assumptions!$B$13))</f>
        <v>730287.688497744</v>
      </c>
      <c r="H32" s="69" t="n">
        <f aca="false">MIN(MAX(0,H30*Assumptions!$B$4-Assumptions!$B$9)*Assumptions!$B$5*(1-Assumptions!$B$7),(G35)*(1+Assumptions!$B$13))</f>
        <v>761210.610842694</v>
      </c>
      <c r="I32" s="69" t="n">
        <f aca="false">MIN(MAX(0,I30*Assumptions!$B$4-Assumptions!$B$9)*Assumptions!$B$5*(1-Assumptions!$B$7),(H35)*(1+Assumptions!$B$13))</f>
        <v>793370.450081442</v>
      </c>
      <c r="J32" s="69" t="n">
        <f aca="false">MIN(MAX(0,J30*Assumptions!$B$4-Assumptions!$B$9)*Assumptions!$B$5*(1-Assumptions!$B$7),(I35)*(1+Assumptions!$B$13))</f>
        <v>826816.682889739</v>
      </c>
      <c r="K32" s="69" t="n">
        <f aca="false">MIN(MAX(0,K30*Assumptions!$B$4-Assumptions!$B$9)*Assumptions!$B$5*(1-Assumptions!$B$7),(J35)*(1+Assumptions!$B$13))</f>
        <v>861600.765010369</v>
      </c>
      <c r="L32" s="69" t="n">
        <f aca="false">MIN(MAX(0,L30*Assumptions!$B$4-Assumptions!$B$9)*Assumptions!$B$5*(1-Assumptions!$B$7),(K35)*(1+Assumptions!$B$13))</f>
        <v>831875.837565379</v>
      </c>
      <c r="M32" s="69" t="n">
        <f aca="false">MIN(MAX(0,M30*Assumptions!$B$4-Assumptions!$B$9)*Assumptions!$B$5*(1-Assumptions!$B$7),(L35)*(1+Assumptions!$B$13))</f>
        <v>866862.285873035</v>
      </c>
      <c r="N32" s="69" t="n">
        <f aca="false">MIN(MAX(0,N30*Assumptions!$B$4-Assumptions!$B$9)*Assumptions!$B$5*(1-Assumptions!$B$7),(M35)*(1+Assumptions!$B$13))</f>
        <v>802048.51337482</v>
      </c>
      <c r="O32" s="69" t="n">
        <f aca="false">MIN(MAX(0,O30*Assumptions!$B$4-Assumptions!$B$9)*Assumptions!$B$5*(1-Assumptions!$B$7),(N35)*(1+Assumptions!$B$13))</f>
        <v>0</v>
      </c>
      <c r="P32" s="69" t="n">
        <f aca="false">MIN(MAX(0,P30*Assumptions!$B$4-Assumptions!$B$9)*Assumptions!$B$5*(1-Assumptions!$B$7),(O35)*(1+Assumptions!$B$13))</f>
        <v>0</v>
      </c>
      <c r="Q32" s="69" t="n">
        <f aca="false">MIN(MAX(0,Q30*Assumptions!$B$4-Assumptions!$B$9)*Assumptions!$B$5*(1-Assumptions!$B$7),(P35)*(1+Assumptions!$B$13))</f>
        <v>0</v>
      </c>
      <c r="R32" s="69" t="n">
        <f aca="false">MIN(MAX(0,R30*Assumptions!$B$4-Assumptions!$B$9)*Assumptions!$B$5*(1-Assumptions!$B$7),(Q35)*(1+Assumptions!$B$13))</f>
        <v>0</v>
      </c>
      <c r="S32" s="69" t="n">
        <f aca="false">MIN(MAX(0,S30*Assumptions!$B$4-Assumptions!$B$9)*Assumptions!$B$5*(1-Assumptions!$B$7),(R35)*(1+Assumptions!$B$13))</f>
        <v>0</v>
      </c>
      <c r="T32" s="69" t="n">
        <f aca="false">MIN(MAX(0,T30*Assumptions!$B$4-Assumptions!$B$9)*Assumptions!$B$5*(1-Assumptions!$B$7),(S35)*(1+Assumptions!$B$13))</f>
        <v>0</v>
      </c>
      <c r="U32" s="69" t="n">
        <f aca="false">MIN(MAX(0,U30*Assumptions!$B$4-Assumptions!$B$9)*Assumptions!$B$5*(1-Assumptions!$B$7),(T35)*(1+Assumptions!$B$13))</f>
        <v>0</v>
      </c>
      <c r="V32" s="72" t="n">
        <f aca="false">SUM(B32:U32)</f>
        <v>9961032.1890721</v>
      </c>
      <c r="W32" s="73" t="n">
        <f aca="false">NPV(Scenario_Analysis_4Cases!$B$6,B32:U32)</f>
        <v>7086367.69957657</v>
      </c>
      <c r="X32" s="73" t="n">
        <f aca="false">NPV(Scenario_Analysis_4Cases!$C$6,B32:U32)</f>
        <v>6657864.38428625</v>
      </c>
      <c r="Y32" s="73" t="n">
        <f aca="false">NPV(Scenario_Analysis_4Cases!$D$6,B32:U32)</f>
        <v>6266473.77572637</v>
      </c>
      <c r="Z32" s="73" t="n">
        <f aca="false">NPV(Scenario_Analysis_4Cases!$E$6,B32:U32)</f>
        <v>5908350.15447363</v>
      </c>
    </row>
    <row r="33" customFormat="false" ht="15" hidden="false" customHeight="true" outlineLevel="0" collapsed="false">
      <c r="A33" s="71" t="s">
        <v>240</v>
      </c>
      <c r="B33" s="78" t="n">
        <f aca="false">-Scenario_Analysis_4Cases!$B$5*MAX(0,(Scenario_Analysis_4Cases!$B$7*(1+Scenario_Analysis_4Cases!$D$5)^0-B30))*Assumptions!$B$4*Assumptions!$B$5</f>
        <v>-29433.154875</v>
      </c>
      <c r="C33" s="69" t="n">
        <v>0</v>
      </c>
      <c r="D33" s="69" t="n">
        <v>0</v>
      </c>
      <c r="E33" s="69" t="n">
        <v>0</v>
      </c>
      <c r="F33" s="69" t="n">
        <v>0</v>
      </c>
      <c r="G33" s="78" t="n">
        <f aca="false">-Scenario_Analysis_4Cases!$B$5*MAX(0,(Scenario_Analysis_4Cases!$B$7*(1+Scenario_Analysis_4Cases!$D$5)^5-G30))*Assumptions!$B$4*Assumptions!$B$5</f>
        <v>-51989.4686107161</v>
      </c>
      <c r="H33" s="69" t="n">
        <v>0</v>
      </c>
      <c r="I33" s="69" t="n">
        <v>0</v>
      </c>
      <c r="J33" s="69" t="n">
        <v>0</v>
      </c>
      <c r="K33" s="69" t="n">
        <v>0</v>
      </c>
      <c r="L33" s="78" t="n">
        <f aca="false">-Scenario_Analysis_4Cases!$B$5*MAX(0,(Scenario_Analysis_4Cases!$B$7*(1+Scenario_Analysis_4Cases!$D$5)^10-L30))*Assumptions!$B$4*Assumptions!$B$5</f>
        <v>-81558.797004585</v>
      </c>
      <c r="M33" s="69" t="n">
        <v>0</v>
      </c>
      <c r="N33" s="69" t="n">
        <v>0</v>
      </c>
      <c r="O33" s="69" t="n">
        <v>0</v>
      </c>
      <c r="P33" s="69" t="n">
        <v>0</v>
      </c>
      <c r="Q33" s="78" t="n">
        <f aca="false">-Scenario_Analysis_4Cases!$B$5*MAX(0,(Scenario_Analysis_4Cases!$B$7*(1+Scenario_Analysis_4Cases!$D$5)^15-Q30))*Assumptions!$B$4*Assumptions!$B$5</f>
        <v>-119939.920168422</v>
      </c>
      <c r="R33" s="69" t="n">
        <v>0</v>
      </c>
      <c r="S33" s="69" t="n">
        <v>0</v>
      </c>
      <c r="T33" s="69" t="n">
        <v>0</v>
      </c>
      <c r="U33" s="69" t="n">
        <v>0</v>
      </c>
      <c r="V33" s="72" t="n">
        <f aca="false">SUM(B33:U33)</f>
        <v>-282921.340658723</v>
      </c>
      <c r="W33" s="73" t="n">
        <f aca="false">NPV(Scenario_Analysis_4Cases!$B$6,B33:U33)</f>
        <v>-169458.51683897</v>
      </c>
      <c r="X33" s="73" t="n">
        <f aca="false">NPV(Scenario_Analysis_4Cases!$C$6,B33:U33)</f>
        <v>-154595.711820617</v>
      </c>
      <c r="Y33" s="73" t="n">
        <f aca="false">NPV(Scenario_Analysis_4Cases!$D$6,B33:U33)</f>
        <v>-141526.19706453</v>
      </c>
      <c r="Z33" s="73" t="n">
        <f aca="false">NPV(Scenario_Analysis_4Cases!$E$6,B33:U33)</f>
        <v>-130003.594657479</v>
      </c>
    </row>
    <row r="34" customFormat="false" ht="15" hidden="false" customHeight="true" outlineLevel="0" collapsed="false">
      <c r="A34" s="74" t="s">
        <v>241</v>
      </c>
      <c r="B34" s="75" t="n">
        <f aca="false">B31+B32+B33</f>
        <v>-148138.962501</v>
      </c>
      <c r="C34" s="75" t="n">
        <f aca="false">C31+C32+C33</f>
        <v>-121742.625126</v>
      </c>
      <c r="D34" s="75" t="n">
        <f aca="false">D31+D32+D33</f>
        <v>-124900.915326</v>
      </c>
      <c r="E34" s="75" t="n">
        <f aca="false">E31+E32+E33</f>
        <v>-128185.537134</v>
      </c>
      <c r="F34" s="75" t="n">
        <f aca="false">F31+F32+F33</f>
        <v>-131601.54381432</v>
      </c>
      <c r="G34" s="75" t="n">
        <f aca="false">G31+G32+G33</f>
        <v>-180671.845250466</v>
      </c>
      <c r="H34" s="75" t="n">
        <f aca="false">H31+H32+H33</f>
        <v>-132118.256900299</v>
      </c>
      <c r="I34" s="75" t="n">
        <f aca="false">I31+I32+I33</f>
        <v>-135691.572371271</v>
      </c>
      <c r="J34" s="75" t="n">
        <f aca="false">J31+J32+J33</f>
        <v>-139407.820461082</v>
      </c>
      <c r="K34" s="75" t="n">
        <f aca="false">K31+K32+K33</f>
        <v>-143272.718474485</v>
      </c>
      <c r="L34" s="75" t="n">
        <f aca="false">L31+L32+L33</f>
        <v>-221528.74576296</v>
      </c>
      <c r="M34" s="75" t="n">
        <f aca="false">M31+M32+M33</f>
        <v>-143857.33190367</v>
      </c>
      <c r="N34" s="75" t="n">
        <f aca="false">N31+N32+N33</f>
        <v>-249099.889112953</v>
      </c>
      <c r="O34" s="75" t="n">
        <f aca="false">O31+O32+O33</f>
        <v>-1093194.33858728</v>
      </c>
      <c r="P34" s="75" t="n">
        <f aca="false">P31+P32+P33</f>
        <v>-1136922.11213078</v>
      </c>
      <c r="Q34" s="75" t="n">
        <f aca="false">Q31+Q32+Q33</f>
        <v>-1219494.22447826</v>
      </c>
      <c r="R34" s="75" t="n">
        <f aca="false">R31+R32+R33</f>
        <v>-1143536.47648224</v>
      </c>
      <c r="S34" s="75" t="n">
        <f aca="false">S31+S32+S33</f>
        <v>-1189277.93554153</v>
      </c>
      <c r="T34" s="75" t="n">
        <f aca="false">T31+T32+T33</f>
        <v>-1236849.05296319</v>
      </c>
      <c r="U34" s="75" t="n">
        <f aca="false">U31+U32+U33</f>
        <v>-1286323.01508172</v>
      </c>
      <c r="V34" s="75" t="n">
        <f aca="false">SUM(B34:U34)</f>
        <v>-10305814.9194035</v>
      </c>
      <c r="W34" s="75" t="n">
        <f aca="false">NPV(Scenario_Analysis_4Cases!$B$6,B34:U34)</f>
        <v>-5033118.49882839</v>
      </c>
      <c r="X34" s="75" t="n">
        <f aca="false">NPV(Scenario_Analysis_4Cases!$C$6,B34:U34)</f>
        <v>-4409882.39944793</v>
      </c>
      <c r="Y34" s="75" t="n">
        <f aca="false">NPV(Scenario_Analysis_4Cases!$D$6,B34:U34)</f>
        <v>-3878555.98971475</v>
      </c>
      <c r="Z34" s="75" t="n">
        <f aca="false">NPV(Scenario_Analysis_4Cases!$E$6,B34:U34)</f>
        <v>-3424366.34455431</v>
      </c>
    </row>
    <row r="35" customFormat="false" ht="15" hidden="false" customHeight="true" outlineLevel="0" collapsed="false">
      <c r="A35" s="76" t="s">
        <v>242</v>
      </c>
      <c r="B35" s="77" t="n">
        <f aca="false">MAX(0,(Assumptions!$B$15)*(1+Assumptions!$B$13)-B32)</f>
        <v>6962999.456846</v>
      </c>
      <c r="C35" s="77" t="n">
        <f aca="false">MAX(0,(B35)*(1+Assumptions!$B$13)-C32)</f>
        <v>6615467.50698692</v>
      </c>
      <c r="D35" s="77" t="n">
        <f aca="false">MAX(0,(C35)*(1+Assumptions!$B$13)-D32)</f>
        <v>6223524.47563432</v>
      </c>
      <c r="E35" s="77" t="n">
        <f aca="false">MAX(0,(D35)*(1+Assumptions!$B$13)-E32)</f>
        <v>5783990.46856749</v>
      </c>
      <c r="F35" s="77" t="n">
        <f aca="false">MAX(0,(E35)*(1+Assumptions!$B$13)-F32)</f>
        <v>5293493.83705272</v>
      </c>
      <c r="G35" s="77" t="n">
        <f aca="false">MAX(0,(F35)*(1+Assumptions!$B$13)-G32)</f>
        <v>4806706.8650594</v>
      </c>
      <c r="H35" s="77" t="n">
        <f aca="false">MAX(0,(G35)*(1+Assumptions!$B$13)-H32)</f>
        <v>4266604.77000944</v>
      </c>
      <c r="I35" s="77" t="n">
        <f aca="false">MAX(0,(H35)*(1+Assumptions!$B$13)-I32)</f>
        <v>3669498.13934843</v>
      </c>
      <c r="J35" s="77" t="n">
        <f aca="false">MAX(0,(I35)*(1+Assumptions!$B$13)-J32)</f>
        <v>3011478.37086872</v>
      </c>
      <c r="K35" s="77" t="n">
        <f aca="false">MAX(0,(J35)*(1+Assumptions!$B$13)-K32)</f>
        <v>2288405.61091832</v>
      </c>
      <c r="L35" s="77" t="n">
        <f aca="false">MAX(0,(K35)*(1+Assumptions!$B$13)-L32)</f>
        <v>1561796.43145518</v>
      </c>
      <c r="M35" s="77" t="n">
        <f aca="false">MAX(0,(L35)*(1+Assumptions!$B$13)-M32)</f>
        <v>766776.781429082</v>
      </c>
      <c r="N35" s="77" t="n">
        <f aca="false">MAX(0,(M35)*(1+Assumptions!$B$13)-N32)</f>
        <v>0</v>
      </c>
      <c r="O35" s="77" t="n">
        <f aca="false">MAX(0,(N35)*(1+Assumptions!$B$13)-O32)</f>
        <v>0</v>
      </c>
      <c r="P35" s="77" t="n">
        <f aca="false">MAX(0,(O35)*(1+Assumptions!$B$13)-P32)</f>
        <v>0</v>
      </c>
      <c r="Q35" s="77" t="n">
        <f aca="false">MAX(0,(P35)*(1+Assumptions!$B$13)-Q32)</f>
        <v>0</v>
      </c>
      <c r="R35" s="77" t="n">
        <f aca="false">MAX(0,(Q35)*(1+Assumptions!$B$13)-R32)</f>
        <v>0</v>
      </c>
      <c r="S35" s="77" t="n">
        <f aca="false">MAX(0,(R35)*(1+Assumptions!$B$13)-S32)</f>
        <v>0</v>
      </c>
      <c r="T35" s="77" t="n">
        <f aca="false">MAX(0,(S35)*(1+Assumptions!$B$13)-T32)</f>
        <v>0</v>
      </c>
      <c r="U35" s="77" t="n">
        <f aca="false">MAX(0,(T35)*(1+Assumptions!$B$13)-U32)</f>
        <v>0</v>
      </c>
      <c r="V35" s="70" t="s">
        <v>237</v>
      </c>
      <c r="W35" s="70" t="s">
        <v>237</v>
      </c>
      <c r="X35" s="70" t="s">
        <v>237</v>
      </c>
      <c r="Y35" s="70" t="s">
        <v>237</v>
      </c>
      <c r="Z35" s="70" t="s">
        <v>237</v>
      </c>
    </row>
    <row r="36" customFormat="false" ht="15" hidden="false" customHeight="true" outlineLevel="0" collapsed="false"/>
    <row r="37" customFormat="false" ht="21.75" hidden="false" customHeight="true" outlineLevel="0" collapsed="false">
      <c r="A37" s="64" t="s">
        <v>245</v>
      </c>
    </row>
    <row r="38" customFormat="false" ht="24" hidden="false" customHeight="true" outlineLevel="0" collapsed="false">
      <c r="A38" s="65" t="s">
        <v>230</v>
      </c>
      <c r="B38" s="66" t="n">
        <v>2026</v>
      </c>
      <c r="C38" s="67" t="n">
        <v>2027</v>
      </c>
      <c r="D38" s="67" t="n">
        <v>2028</v>
      </c>
      <c r="E38" s="67" t="n">
        <v>2029</v>
      </c>
      <c r="F38" s="67" t="n">
        <v>2030</v>
      </c>
      <c r="G38" s="66" t="n">
        <v>2031</v>
      </c>
      <c r="H38" s="67" t="n">
        <v>2032</v>
      </c>
      <c r="I38" s="67" t="n">
        <v>2033</v>
      </c>
      <c r="J38" s="67" t="n">
        <v>2034</v>
      </c>
      <c r="K38" s="67" t="n">
        <v>2035</v>
      </c>
      <c r="L38" s="66" t="n">
        <v>2036</v>
      </c>
      <c r="M38" s="67" t="n">
        <v>2037</v>
      </c>
      <c r="N38" s="67" t="n">
        <v>2038</v>
      </c>
      <c r="O38" s="67" t="n">
        <v>2039</v>
      </c>
      <c r="P38" s="67" t="n">
        <v>2040</v>
      </c>
      <c r="Q38" s="66" t="n">
        <v>2041</v>
      </c>
      <c r="R38" s="67" t="n">
        <v>2042</v>
      </c>
      <c r="S38" s="67" t="n">
        <v>2043</v>
      </c>
      <c r="T38" s="67" t="n">
        <v>2044</v>
      </c>
      <c r="U38" s="67" t="n">
        <v>2045</v>
      </c>
      <c r="V38" s="65" t="s">
        <v>231</v>
      </c>
      <c r="W38" s="65" t="s">
        <v>232</v>
      </c>
      <c r="X38" s="65" t="s">
        <v>233</v>
      </c>
      <c r="Y38" s="65" t="s">
        <v>234</v>
      </c>
      <c r="Z38" s="65" t="s">
        <v>235</v>
      </c>
    </row>
    <row r="39" customFormat="false" ht="15" hidden="false" customHeight="true" outlineLevel="0" collapsed="false">
      <c r="A39" s="68" t="s">
        <v>236</v>
      </c>
      <c r="B39" s="78" t="n">
        <f aca="false">Scenario_Analysis_4Cases!$E$7</f>
        <v>43835000</v>
      </c>
      <c r="C39" s="69" t="n">
        <f aca="false">B39*(1+Scenario_Analysis_4Cases!$D$5)</f>
        <v>45588400</v>
      </c>
      <c r="D39" s="69" t="n">
        <f aca="false">C39*(1+Scenario_Analysis_4Cases!$D$5)</f>
        <v>47411936</v>
      </c>
      <c r="E39" s="69" t="n">
        <f aca="false">D39*(1+Scenario_Analysis_4Cases!$D$5)</f>
        <v>49308413.44</v>
      </c>
      <c r="F39" s="69" t="n">
        <f aca="false">E39*(1+Scenario_Analysis_4Cases!$D$5)</f>
        <v>51280749.9776</v>
      </c>
      <c r="G39" s="78" t="n">
        <f aca="false">Scenario_Analysis_4Cases!$E$7</f>
        <v>43835000</v>
      </c>
      <c r="H39" s="69" t="n">
        <f aca="false">G39*(1+Scenario_Analysis_4Cases!$D$5)</f>
        <v>45588400</v>
      </c>
      <c r="I39" s="69" t="n">
        <f aca="false">H39*(1+Scenario_Analysis_4Cases!$D$5)</f>
        <v>47411936</v>
      </c>
      <c r="J39" s="69" t="n">
        <f aca="false">I39*(1+Scenario_Analysis_4Cases!$D$5)</f>
        <v>49308413.44</v>
      </c>
      <c r="K39" s="69" t="n">
        <f aca="false">J39*(1+Scenario_Analysis_4Cases!$D$5)</f>
        <v>51280749.9776</v>
      </c>
      <c r="L39" s="78" t="n">
        <f aca="false">Scenario_Analysis_4Cases!$E$7</f>
        <v>43835000</v>
      </c>
      <c r="M39" s="69" t="n">
        <f aca="false">L39*(1+Scenario_Analysis_4Cases!$D$5)</f>
        <v>45588400</v>
      </c>
      <c r="N39" s="69" t="n">
        <f aca="false">M39*(1+Scenario_Analysis_4Cases!$D$5)</f>
        <v>47411936</v>
      </c>
      <c r="O39" s="69" t="n">
        <f aca="false">N39*(1+Scenario_Analysis_4Cases!$D$5)</f>
        <v>49308413.44</v>
      </c>
      <c r="P39" s="69" t="n">
        <f aca="false">O39*(1+Scenario_Analysis_4Cases!$D$5)</f>
        <v>51280749.9776</v>
      </c>
      <c r="Q39" s="78" t="n">
        <f aca="false">Scenario_Analysis_4Cases!$E$7</f>
        <v>43835000</v>
      </c>
      <c r="R39" s="69" t="n">
        <f aca="false">Q39*(1+Scenario_Analysis_4Cases!$D$5)</f>
        <v>45588400</v>
      </c>
      <c r="S39" s="69" t="n">
        <f aca="false">R39*(1+Scenario_Analysis_4Cases!$D$5)</f>
        <v>47411936</v>
      </c>
      <c r="T39" s="69" t="n">
        <f aca="false">S39*(1+Scenario_Analysis_4Cases!$D$5)</f>
        <v>49308413.44</v>
      </c>
      <c r="U39" s="69" t="n">
        <f aca="false">T39*(1+Scenario_Analysis_4Cases!$D$5)</f>
        <v>51280749.9776</v>
      </c>
      <c r="V39" s="70" t="s">
        <v>237</v>
      </c>
      <c r="W39" s="70" t="s">
        <v>237</v>
      </c>
      <c r="X39" s="70" t="s">
        <v>237</v>
      </c>
      <c r="Y39" s="70" t="s">
        <v>237</v>
      </c>
      <c r="Z39" s="70" t="s">
        <v>237</v>
      </c>
    </row>
    <row r="40" customFormat="false" ht="15" hidden="false" customHeight="true" outlineLevel="0" collapsed="false">
      <c r="A40" s="71" t="s">
        <v>238</v>
      </c>
      <c r="B40" s="79" t="n">
        <f aca="false">-B39*Assumptions!$B$4*Assumptions!$B$5</f>
        <v>-700625.76375</v>
      </c>
      <c r="C40" s="79" t="n">
        <f aca="false">-C39*Assumptions!$B$4*Assumptions!$B$5</f>
        <v>-728650.7943</v>
      </c>
      <c r="D40" s="79" t="n">
        <f aca="false">-D39*Assumptions!$B$4*Assumptions!$B$5</f>
        <v>-757796.826072</v>
      </c>
      <c r="E40" s="79" t="n">
        <f aca="false">-E39*Assumptions!$B$4*Assumptions!$B$5</f>
        <v>-788108.69911488</v>
      </c>
      <c r="F40" s="79" t="n">
        <f aca="false">-F39*Assumptions!$B$4*Assumptions!$B$5</f>
        <v>-819633.047079475</v>
      </c>
      <c r="G40" s="79" t="n">
        <f aca="false">-G39*Assumptions!$B$4*Assumptions!$B$5</f>
        <v>-700625.76375</v>
      </c>
      <c r="H40" s="79" t="n">
        <f aca="false">-H39*Assumptions!$B$4*Assumptions!$B$5</f>
        <v>-728650.7943</v>
      </c>
      <c r="I40" s="79" t="n">
        <f aca="false">-I39*Assumptions!$B$4*Assumptions!$B$5</f>
        <v>-757796.826072</v>
      </c>
      <c r="J40" s="79" t="n">
        <f aca="false">-J39*Assumptions!$B$4*Assumptions!$B$5</f>
        <v>-788108.69911488</v>
      </c>
      <c r="K40" s="79" t="n">
        <f aca="false">-K39*Assumptions!$B$4*Assumptions!$B$5</f>
        <v>-819633.047079475</v>
      </c>
      <c r="L40" s="79" t="n">
        <f aca="false">-L39*Assumptions!$B$4*Assumptions!$B$5</f>
        <v>-700625.76375</v>
      </c>
      <c r="M40" s="79" t="n">
        <f aca="false">-M39*Assumptions!$B$4*Assumptions!$B$5</f>
        <v>-728650.7943</v>
      </c>
      <c r="N40" s="79" t="n">
        <f aca="false">-N39*Assumptions!$B$4*Assumptions!$B$5</f>
        <v>-757796.826072</v>
      </c>
      <c r="O40" s="79" t="n">
        <f aca="false">-O39*Assumptions!$B$4*Assumptions!$B$5</f>
        <v>-788108.69911488</v>
      </c>
      <c r="P40" s="79" t="n">
        <f aca="false">-P39*Assumptions!$B$4*Assumptions!$B$5</f>
        <v>-819633.047079475</v>
      </c>
      <c r="Q40" s="79" t="n">
        <f aca="false">-Q39*Assumptions!$B$4*Assumptions!$B$5</f>
        <v>-700625.76375</v>
      </c>
      <c r="R40" s="79" t="n">
        <f aca="false">-R39*Assumptions!$B$4*Assumptions!$B$5</f>
        <v>-728650.7943</v>
      </c>
      <c r="S40" s="79" t="n">
        <f aca="false">-S39*Assumptions!$B$4*Assumptions!$B$5</f>
        <v>-757796.826072</v>
      </c>
      <c r="T40" s="79" t="n">
        <f aca="false">-T39*Assumptions!$B$4*Assumptions!$B$5</f>
        <v>-788108.69911488</v>
      </c>
      <c r="U40" s="79" t="n">
        <f aca="false">-U39*Assumptions!$B$4*Assumptions!$B$5</f>
        <v>-819633.047079475</v>
      </c>
      <c r="V40" s="79" t="n">
        <f aca="false">SUM(B40:U40)</f>
        <v>-15179260.5212654</v>
      </c>
      <c r="W40" s="79" t="n">
        <f aca="false">NPV(Scenario_Analysis_4Cases!$B$6,B40:U40)</f>
        <v>-9422243.68190995</v>
      </c>
      <c r="X40" s="79" t="n">
        <f aca="false">NPV(Scenario_Analysis_4Cases!$C$6,B40:U40)</f>
        <v>-8665573.68193912</v>
      </c>
      <c r="Y40" s="79" t="n">
        <f aca="false">NPV(Scenario_Analysis_4Cases!$D$6,B40:U40)</f>
        <v>-7997944.67387984</v>
      </c>
      <c r="Z40" s="79" t="n">
        <f aca="false">NPV(Scenario_Analysis_4Cases!$E$6,B40:U40)</f>
        <v>-7406818.2061675</v>
      </c>
    </row>
    <row r="41" customFormat="false" ht="15" hidden="false" customHeight="true" outlineLevel="0" collapsed="false">
      <c r="A41" s="71" t="s">
        <v>239</v>
      </c>
      <c r="B41" s="69" t="n">
        <f aca="false">MIN(MAX(0,B39*Assumptions!$B$4-Assumptions!$B$9)*Assumptions!$B$5*(1-Assumptions!$B$7),(Assumptions!$B$15)*(1+Assumptions!$B$13))</f>
        <v>587777.817249</v>
      </c>
      <c r="C41" s="69" t="n">
        <f aca="false">MIN(MAX(0,C39*Assumptions!$B$4-Assumptions!$B$9)*Assumptions!$B$5*(1-Assumptions!$B$7),(B44)*(1+Assumptions!$B$13))</f>
        <v>613000.344744</v>
      </c>
      <c r="D41" s="69" t="n">
        <f aca="false">MIN(MAX(0,D39*Assumptions!$B$4-Assumptions!$B$9)*Assumptions!$B$5*(1-Assumptions!$B$7),(C44)*(1+Assumptions!$B$13))</f>
        <v>639231.7733388</v>
      </c>
      <c r="E41" s="69" t="n">
        <f aca="false">MIN(MAX(0,E39*Assumptions!$B$4-Assumptions!$B$9)*Assumptions!$B$5*(1-Assumptions!$B$7),(D44)*(1+Assumptions!$B$13))</f>
        <v>666512.459077392</v>
      </c>
      <c r="F41" s="69" t="n">
        <f aca="false">MIN(MAX(0,F39*Assumptions!$B$4-Assumptions!$B$9)*Assumptions!$B$5*(1-Assumptions!$B$7),(E44)*(1+Assumptions!$B$13))</f>
        <v>694884.372245528</v>
      </c>
      <c r="G41" s="69" t="n">
        <f aca="false">MIN(MAX(0,G39*Assumptions!$B$4-Assumptions!$B$9)*Assumptions!$B$5*(1-Assumptions!$B$7),(F44)*(1+Assumptions!$B$13))</f>
        <v>587777.817249</v>
      </c>
      <c r="H41" s="69" t="n">
        <f aca="false">MIN(MAX(0,H39*Assumptions!$B$4-Assumptions!$B$9)*Assumptions!$B$5*(1-Assumptions!$B$7),(G44)*(1+Assumptions!$B$13))</f>
        <v>613000.344744</v>
      </c>
      <c r="I41" s="69" t="n">
        <f aca="false">MIN(MAX(0,I39*Assumptions!$B$4-Assumptions!$B$9)*Assumptions!$B$5*(1-Assumptions!$B$7),(H44)*(1+Assumptions!$B$13))</f>
        <v>639231.7733388</v>
      </c>
      <c r="J41" s="69" t="n">
        <f aca="false">MIN(MAX(0,J39*Assumptions!$B$4-Assumptions!$B$9)*Assumptions!$B$5*(1-Assumptions!$B$7),(I44)*(1+Assumptions!$B$13))</f>
        <v>666512.459077392</v>
      </c>
      <c r="K41" s="69" t="n">
        <f aca="false">MIN(MAX(0,K39*Assumptions!$B$4-Assumptions!$B$9)*Assumptions!$B$5*(1-Assumptions!$B$7),(J44)*(1+Assumptions!$B$13))</f>
        <v>694884.372245528</v>
      </c>
      <c r="L41" s="69" t="n">
        <f aca="false">MIN(MAX(0,L39*Assumptions!$B$4-Assumptions!$B$9)*Assumptions!$B$5*(1-Assumptions!$B$7),(K44)*(1+Assumptions!$B$13))</f>
        <v>587777.817249</v>
      </c>
      <c r="M41" s="69" t="n">
        <f aca="false">MIN(MAX(0,M39*Assumptions!$B$4-Assumptions!$B$9)*Assumptions!$B$5*(1-Assumptions!$B$7),(L44)*(1+Assumptions!$B$13))</f>
        <v>613000.344744</v>
      </c>
      <c r="N41" s="69" t="n">
        <f aca="false">MIN(MAX(0,N39*Assumptions!$B$4-Assumptions!$B$9)*Assumptions!$B$5*(1-Assumptions!$B$7),(M44)*(1+Assumptions!$B$13))</f>
        <v>639231.7733388</v>
      </c>
      <c r="O41" s="69" t="n">
        <f aca="false">MIN(MAX(0,O39*Assumptions!$B$4-Assumptions!$B$9)*Assumptions!$B$5*(1-Assumptions!$B$7),(N44)*(1+Assumptions!$B$13))</f>
        <v>666512.459077392</v>
      </c>
      <c r="P41" s="69" t="n">
        <f aca="false">MIN(MAX(0,P39*Assumptions!$B$4-Assumptions!$B$9)*Assumptions!$B$5*(1-Assumptions!$B$7),(O44)*(1+Assumptions!$B$13))</f>
        <v>694884.372245528</v>
      </c>
      <c r="Q41" s="69" t="n">
        <f aca="false">MIN(MAX(0,Q39*Assumptions!$B$4-Assumptions!$B$9)*Assumptions!$B$5*(1-Assumptions!$B$7),(P44)*(1+Assumptions!$B$13))</f>
        <v>587777.817249</v>
      </c>
      <c r="R41" s="69" t="n">
        <f aca="false">MIN(MAX(0,R39*Assumptions!$B$4-Assumptions!$B$9)*Assumptions!$B$5*(1-Assumptions!$B$7),(Q44)*(1+Assumptions!$B$13))</f>
        <v>385017.500377267</v>
      </c>
      <c r="S41" s="69" t="n">
        <f aca="false">MIN(MAX(0,S39*Assumptions!$B$4-Assumptions!$B$9)*Assumptions!$B$5*(1-Assumptions!$B$7),(R44)*(1+Assumptions!$B$13))</f>
        <v>0</v>
      </c>
      <c r="T41" s="69" t="n">
        <f aca="false">MIN(MAX(0,T39*Assumptions!$B$4-Assumptions!$B$9)*Assumptions!$B$5*(1-Assumptions!$B$7),(S44)*(1+Assumptions!$B$13))</f>
        <v>0</v>
      </c>
      <c r="U41" s="69" t="n">
        <f aca="false">MIN(MAX(0,U39*Assumptions!$B$4-Assumptions!$B$9)*Assumptions!$B$5*(1-Assumptions!$B$7),(T44)*(1+Assumptions!$B$13))</f>
        <v>0</v>
      </c>
      <c r="V41" s="72" t="n">
        <f aca="false">SUM(B41:U41)</f>
        <v>10577015.6175904</v>
      </c>
      <c r="W41" s="73" t="n">
        <f aca="false">NPV(Scenario_Analysis_4Cases!$B$6,B41:U41)</f>
        <v>7056080.64218243</v>
      </c>
      <c r="X41" s="73" t="n">
        <f aca="false">NPV(Scenario_Analysis_4Cases!$C$6,B41:U41)</f>
        <v>6562696.61847239</v>
      </c>
      <c r="Y41" s="73" t="n">
        <f aca="false">NPV(Scenario_Analysis_4Cases!$D$6,B41:U41)</f>
        <v>6119714.66445137</v>
      </c>
      <c r="Z41" s="73" t="n">
        <f aca="false">NPV(Scenario_Analysis_4Cases!$E$6,B41:U41)</f>
        <v>5720954.32582818</v>
      </c>
    </row>
    <row r="42" customFormat="false" ht="15" hidden="false" customHeight="true" outlineLevel="0" collapsed="false">
      <c r="A42" s="71" t="s">
        <v>240</v>
      </c>
      <c r="B42" s="78" t="n">
        <f aca="false">-Scenario_Analysis_4Cases!$B$5*MAX(0,(Scenario_Analysis_4Cases!$B$7*(1+Scenario_Analysis_4Cases!$D$5)^0-B39))*Assumptions!$B$4*Assumptions!$B$5</f>
        <v>-44077.8076875</v>
      </c>
      <c r="C42" s="69" t="n">
        <v>0</v>
      </c>
      <c r="D42" s="69" t="n">
        <v>0</v>
      </c>
      <c r="E42" s="69" t="n">
        <v>0</v>
      </c>
      <c r="F42" s="69" t="n">
        <v>0</v>
      </c>
      <c r="G42" s="78" t="n">
        <f aca="false">-Scenario_Analysis_4Cases!$B$5*MAX(0,(Scenario_Analysis_4Cases!$B$7*(1+Scenario_Analysis_4Cases!$D$5)^5-G39))*Assumptions!$B$4*Assumptions!$B$5</f>
        <v>-91575.5439575895</v>
      </c>
      <c r="H42" s="69" t="n">
        <v>0</v>
      </c>
      <c r="I42" s="69" t="n">
        <v>0</v>
      </c>
      <c r="J42" s="69" t="n">
        <v>0</v>
      </c>
      <c r="K42" s="69" t="n">
        <v>0</v>
      </c>
      <c r="L42" s="78" t="n">
        <f aca="false">-Scenario_Analysis_4Cases!$B$5*MAX(0,(Scenario_Analysis_4Cases!$B$7*(1+Scenario_Analysis_4Cases!$D$5)^10-L39))*Assumptions!$B$4*Assumptions!$B$5</f>
        <v>-149363.802648024</v>
      </c>
      <c r="M42" s="69" t="n">
        <v>0</v>
      </c>
      <c r="N42" s="69" t="n">
        <v>0</v>
      </c>
      <c r="O42" s="69" t="n">
        <v>0</v>
      </c>
      <c r="P42" s="69" t="n">
        <v>0</v>
      </c>
      <c r="Q42" s="78" t="n">
        <f aca="false">-Scenario_Analysis_4Cases!$B$5*MAX(0,(Scenario_Analysis_4Cases!$B$7*(1+Scenario_Analysis_4Cases!$D$5)^15-Q39))*Assumptions!$B$4*Assumptions!$B$5</f>
        <v>-219672.055308382</v>
      </c>
      <c r="R42" s="69" t="n">
        <v>0</v>
      </c>
      <c r="S42" s="69" t="n">
        <v>0</v>
      </c>
      <c r="T42" s="69" t="n">
        <v>0</v>
      </c>
      <c r="U42" s="69" t="n">
        <v>0</v>
      </c>
      <c r="V42" s="80"/>
      <c r="W42" s="80"/>
      <c r="X42" s="80"/>
      <c r="Y42" s="80"/>
      <c r="Z42" s="81"/>
    </row>
    <row r="43" customFormat="false" ht="15" hidden="false" customHeight="true" outlineLevel="0" collapsed="false">
      <c r="A43" s="74" t="s">
        <v>241</v>
      </c>
      <c r="B43" s="75" t="n">
        <f aca="false">B40+B41+B42</f>
        <v>-156925.7541885</v>
      </c>
      <c r="C43" s="75" t="n">
        <f aca="false">C40+C41+C42</f>
        <v>-115650.449556</v>
      </c>
      <c r="D43" s="75" t="n">
        <f aca="false">D40+D41+D42</f>
        <v>-118565.0527332</v>
      </c>
      <c r="E43" s="75" t="n">
        <f aca="false">E40+E41+E42</f>
        <v>-121596.240037488</v>
      </c>
      <c r="F43" s="75" t="n">
        <f aca="false">F40+F41+F42</f>
        <v>-124748.674833947</v>
      </c>
      <c r="G43" s="75" t="n">
        <f aca="false">G40+G41+G42</f>
        <v>-204423.490458589</v>
      </c>
      <c r="H43" s="75" t="n">
        <f aca="false">H40+H41+H42</f>
        <v>-115650.449556</v>
      </c>
      <c r="I43" s="75" t="n">
        <f aca="false">I40+I41+I42</f>
        <v>-118565.0527332</v>
      </c>
      <c r="J43" s="75" t="n">
        <f aca="false">J40+J41+J42</f>
        <v>-121596.240037488</v>
      </c>
      <c r="K43" s="75" t="n">
        <f aca="false">K40+K41+K42</f>
        <v>-124748.674833947</v>
      </c>
      <c r="L43" s="75" t="n">
        <f aca="false">L40+L41+L42</f>
        <v>-262211.749149024</v>
      </c>
      <c r="M43" s="75" t="n">
        <f aca="false">M40+M41+M42</f>
        <v>-115650.449556</v>
      </c>
      <c r="N43" s="75" t="n">
        <f aca="false">N40+N41+N42</f>
        <v>-118565.0527332</v>
      </c>
      <c r="O43" s="75" t="n">
        <f aca="false">O40+O41+O42</f>
        <v>-121596.240037488</v>
      </c>
      <c r="P43" s="75" t="n">
        <f aca="false">P40+P41+P42</f>
        <v>-124748.674833947</v>
      </c>
      <c r="Q43" s="75" t="n">
        <f aca="false">Q40+Q41+Q42</f>
        <v>-332520.001809382</v>
      </c>
      <c r="R43" s="75" t="n">
        <f aca="false">R40+R41+R42</f>
        <v>-343633.293922733</v>
      </c>
      <c r="S43" s="75" t="n">
        <f aca="false">S40+S41+S42</f>
        <v>-757796.826072</v>
      </c>
      <c r="T43" s="75" t="n">
        <f aca="false">T40+T41+T42</f>
        <v>-788108.69911488</v>
      </c>
      <c r="U43" s="75" t="n">
        <f aca="false">U40+U41+U42</f>
        <v>-819633.047079475</v>
      </c>
      <c r="V43" s="75" t="n">
        <f aca="false">SUM(B43:U43)</f>
        <v>-5106934.11327649</v>
      </c>
      <c r="W43" s="75" t="n">
        <f aca="false">NPV(Scenario_Analysis_4Cases!$B$6,B43:U43)</f>
        <v>-2664441.20659213</v>
      </c>
      <c r="X43" s="75" t="n">
        <f aca="false">NPV(Scenario_Analysis_4Cases!$C$6,B43:U43)</f>
        <v>-2374173.12205489</v>
      </c>
      <c r="Y43" s="75" t="n">
        <f aca="false">NPV(Scenario_Analysis_4Cases!$D$6,B43:U43)</f>
        <v>-2125817.06580961</v>
      </c>
      <c r="Z43" s="75" t="n">
        <f aca="false">NPV(Scenario_Analysis_4Cases!$E$6,B43:U43)</f>
        <v>-1912564.5452978</v>
      </c>
    </row>
    <row r="44" customFormat="false" ht="15" hidden="false" customHeight="true" outlineLevel="0" collapsed="false">
      <c r="A44" s="76" t="s">
        <v>242</v>
      </c>
      <c r="B44" s="77" t="n">
        <f aca="false">MAX(0,(Assumptions!$B$15)*(1+Assumptions!$B$13)-B41)</f>
        <v>7015720.206971</v>
      </c>
      <c r="C44" s="77" t="n">
        <f aca="false">MAX(0,(B44)*(1+Assumptions!$B$13)-C41)</f>
        <v>6725442.99174767</v>
      </c>
      <c r="D44" s="77" t="n">
        <f aca="false">MAX(0,(C44)*(1+Assumptions!$B$13)-D41)</f>
        <v>6395581.59602926</v>
      </c>
      <c r="E44" s="77" t="n">
        <f aca="false">MAX(0,(D44)*(1+Assumptions!$B$13)-E41)</f>
        <v>6023265.89036922</v>
      </c>
      <c r="F44" s="77" t="n">
        <f aca="false">MAX(0,(E44)*(1+Assumptions!$B$13)-F41)</f>
        <v>5605451.74908067</v>
      </c>
      <c r="G44" s="77" t="n">
        <f aca="false">MAX(0,(F44)*(1+Assumptions!$B$13)-G41)</f>
        <v>5275524.71228938</v>
      </c>
      <c r="H44" s="77" t="n">
        <f aca="false">MAX(0,(G44)*(1+Assumptions!$B$13)-H41)</f>
        <v>4905198.50431069</v>
      </c>
      <c r="I44" s="77" t="n">
        <f aca="false">MAX(0,(H44)*(1+Assumptions!$B$13)-I41)</f>
        <v>4491605.86217019</v>
      </c>
      <c r="J44" s="77" t="n">
        <f aca="false">MAX(0,(I44)*(1+Assumptions!$B$13)-J41)</f>
        <v>4031707.27275262</v>
      </c>
      <c r="K44" s="77" t="n">
        <f aca="false">MAX(0,(J44)*(1+Assumptions!$B$13)-K41)</f>
        <v>3522281.43505372</v>
      </c>
      <c r="L44" s="77" t="n">
        <f aca="false">MAX(0,(K44)*(1+Assumptions!$B$13)-L41)</f>
        <v>3096528.56381719</v>
      </c>
      <c r="M44" s="77" t="n">
        <f aca="false">MAX(0,(L44)*(1+Assumptions!$B$13)-M41)</f>
        <v>2625968.53300878</v>
      </c>
      <c r="N44" s="77" t="n">
        <f aca="false">MAX(0,(M44)*(1+Assumptions!$B$13)-N41)</f>
        <v>2107531.31218838</v>
      </c>
      <c r="O44" s="77" t="n">
        <f aca="false">MAX(0,(N44)*(1+Assumptions!$B$13)-O41)</f>
        <v>1537965.29347166</v>
      </c>
      <c r="P44" s="77" t="n">
        <f aca="false">MAX(0,(O44)*(1+Assumptions!$B$13)-P41)</f>
        <v>913827.324725825</v>
      </c>
      <c r="Q44" s="77" t="n">
        <f aca="false">MAX(0,(P44)*(1+Assumptions!$B$13)-Q41)</f>
        <v>368085.564414213</v>
      </c>
      <c r="R44" s="77" t="n">
        <f aca="false">MAX(0,(Q44)*(1+Assumptions!$B$13)-R41)</f>
        <v>0</v>
      </c>
      <c r="S44" s="77" t="n">
        <f aca="false">MAX(0,(R44)*(1+Assumptions!$B$13)-S41)</f>
        <v>0</v>
      </c>
      <c r="T44" s="77" t="n">
        <f aca="false">MAX(0,(S44)*(1+Assumptions!$B$13)-T41)</f>
        <v>0</v>
      </c>
      <c r="U44" s="77" t="n">
        <f aca="false">MAX(0,(T44)*(1+Assumptions!$B$13)-U41)</f>
        <v>0</v>
      </c>
      <c r="V44" s="70" t="s">
        <v>237</v>
      </c>
      <c r="W44" s="70" t="s">
        <v>237</v>
      </c>
      <c r="X44" s="70" t="s">
        <v>237</v>
      </c>
      <c r="Y44" s="70" t="s">
        <v>237</v>
      </c>
      <c r="Z44" s="70" t="s">
        <v>237</v>
      </c>
    </row>
    <row r="45" customFormat="false" ht="15" hidden="false" customHeight="true" outlineLevel="0" collapsed="false"/>
    <row r="46" customFormat="false" ht="15" hidden="false" customHeight="true" outlineLevel="0" collapsed="false"/>
    <row r="47" customFormat="false" ht="27.75" hidden="false" customHeight="true" outlineLevel="0" collapsed="false">
      <c r="A47" s="82" t="s">
        <v>246</v>
      </c>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customFormat="false" ht="24" hidden="false" customHeight="true" outlineLevel="0" collapsed="false">
      <c r="A48" s="65" t="s">
        <v>230</v>
      </c>
      <c r="B48" s="66" t="n">
        <v>2026</v>
      </c>
      <c r="C48" s="67" t="n">
        <v>2027</v>
      </c>
      <c r="D48" s="67" t="n">
        <v>2028</v>
      </c>
      <c r="E48" s="67" t="n">
        <v>2029</v>
      </c>
      <c r="F48" s="67" t="n">
        <v>2030</v>
      </c>
      <c r="G48" s="66" t="n">
        <v>2031</v>
      </c>
      <c r="H48" s="67" t="n">
        <v>2032</v>
      </c>
      <c r="I48" s="67" t="n">
        <v>2033</v>
      </c>
      <c r="J48" s="67" t="n">
        <v>2034</v>
      </c>
      <c r="K48" s="67" t="n">
        <v>2035</v>
      </c>
      <c r="L48" s="66" t="n">
        <v>2036</v>
      </c>
      <c r="M48" s="67" t="n">
        <v>2037</v>
      </c>
      <c r="N48" s="67" t="n">
        <v>2038</v>
      </c>
      <c r="O48" s="67" t="n">
        <v>2039</v>
      </c>
      <c r="P48" s="67" t="n">
        <v>2040</v>
      </c>
      <c r="Q48" s="66" t="n">
        <v>2041</v>
      </c>
      <c r="R48" s="67" t="n">
        <v>2042</v>
      </c>
      <c r="S48" s="67" t="n">
        <v>2043</v>
      </c>
      <c r="T48" s="67" t="n">
        <v>2044</v>
      </c>
      <c r="U48" s="67" t="n">
        <v>2045</v>
      </c>
      <c r="V48" s="65" t="s">
        <v>231</v>
      </c>
      <c r="W48" s="65" t="s">
        <v>232</v>
      </c>
      <c r="X48" s="65" t="s">
        <v>233</v>
      </c>
      <c r="Y48" s="65" t="s">
        <v>234</v>
      </c>
      <c r="Z48" s="65" t="s">
        <v>235</v>
      </c>
    </row>
    <row r="49" customFormat="false" ht="15" hidden="false" customHeight="true" outlineLevel="0" collapsed="false">
      <c r="A49" s="49" t="s">
        <v>247</v>
      </c>
      <c r="B49" s="79" t="n">
        <f aca="false">B25-B16</f>
        <v>-11666.1741750001</v>
      </c>
      <c r="C49" s="79" t="n">
        <f aca="false">C25-C16</f>
        <v>8088.54742800014</v>
      </c>
      <c r="D49" s="79" t="n">
        <f aca="false">D25-D16</f>
        <v>8412.08932512009</v>
      </c>
      <c r="E49" s="79" t="n">
        <f aca="false">E25-E16</f>
        <v>8748.57289812469</v>
      </c>
      <c r="F49" s="79" t="n">
        <f aca="false">F25-F16</f>
        <v>9098.51581404987</v>
      </c>
      <c r="G49" s="79" t="n">
        <f aca="false">G25-G16</f>
        <v>-24412.3385469231</v>
      </c>
      <c r="H49" s="79" t="n">
        <f aca="false">H25-H16</f>
        <v>16925.8880592</v>
      </c>
      <c r="I49" s="79" t="n">
        <f aca="false">I25-I16</f>
        <v>17602.9235815679</v>
      </c>
      <c r="J49" s="79" t="n">
        <f aca="false">J25-J16</f>
        <v>18307.0405248308</v>
      </c>
      <c r="K49" s="79" t="n">
        <f aca="false">K25-K16</f>
        <v>19039.322145824</v>
      </c>
      <c r="L49" s="79" t="n">
        <f aca="false">L25-L16</f>
        <v>670157.303398521</v>
      </c>
      <c r="M49" s="79" t="n">
        <f aca="false">M25-M16</f>
        <v>1200827.30447644</v>
      </c>
      <c r="N49" s="79" t="n">
        <f aca="false">N25-N16</f>
        <v>418659.428015663</v>
      </c>
      <c r="O49" s="79" t="n">
        <f aca="false">O25-O16</f>
        <v>309433.674398889</v>
      </c>
      <c r="P49" s="79" t="n">
        <f aca="false">P25-P16</f>
        <v>321811.021374845</v>
      </c>
      <c r="Q49" s="79" t="n">
        <f aca="false">Q25-Q16</f>
        <v>316416.301124613</v>
      </c>
      <c r="R49" s="79" t="n">
        <f aca="false">R25-R16</f>
        <v>438763.937559463</v>
      </c>
      <c r="S49" s="79" t="n">
        <f aca="false">S25-S16</f>
        <v>456314.495061842</v>
      </c>
      <c r="T49" s="79" t="n">
        <f aca="false">T25-T16</f>
        <v>474567.074864316</v>
      </c>
      <c r="U49" s="79" t="n">
        <f aca="false">U25-U16</f>
        <v>493549.757858888</v>
      </c>
      <c r="V49" s="83" t="n">
        <f aca="false">SUM(B49:U49)</f>
        <v>5170644.68518828</v>
      </c>
      <c r="W49" s="83" t="n">
        <f aca="false">NPV(Scenario_Analysis_4Cases!$B$6,B49:U49)</f>
        <v>2540442.42501468</v>
      </c>
      <c r="X49" s="83" t="n">
        <f aca="false">NPV(Scenario_Analysis_4Cases!$C$6,B49:U49)</f>
        <v>2218881.32112673</v>
      </c>
      <c r="Y49" s="83" t="n">
        <f aca="false">NPV(Scenario_Analysis_4Cases!$D$6,B49:U49)</f>
        <v>1942139.30310959</v>
      </c>
      <c r="Z49" s="83" t="n">
        <f aca="false">NPV(Scenario_Analysis_4Cases!$E$6,B49:U49)</f>
        <v>1703423.77517659</v>
      </c>
    </row>
    <row r="50" customFormat="false" ht="15" hidden="false" customHeight="true" outlineLevel="0" collapsed="false">
      <c r="A50" s="49" t="s">
        <v>248</v>
      </c>
      <c r="B50" s="84" t="n">
        <f aca="false">B34-B16</f>
        <v>-17659.8929250001</v>
      </c>
      <c r="C50" s="84" t="n">
        <f aca="false">C34-C16</f>
        <v>12244.1924280002</v>
      </c>
      <c r="D50" s="84" t="n">
        <f aca="false">D34-D16</f>
        <v>12733.96012512</v>
      </c>
      <c r="E50" s="84" t="n">
        <f aca="false">E34-E16</f>
        <v>13243.3185301247</v>
      </c>
      <c r="F50" s="84" t="n">
        <f aca="false">F34-F16</f>
        <v>13773.0512713298</v>
      </c>
      <c r="G50" s="84" t="n">
        <f aca="false">G34-G16</f>
        <v>-31193.6811664296</v>
      </c>
      <c r="H50" s="84" t="n">
        <f aca="false">H34-H16</f>
        <v>21627.6189420578</v>
      </c>
      <c r="I50" s="84" t="n">
        <f aca="false">I34-I16</f>
        <v>22492.7236997403</v>
      </c>
      <c r="J50" s="84" t="n">
        <f aca="false">J34-J16</f>
        <v>23392.4326477298</v>
      </c>
      <c r="K50" s="84" t="n">
        <f aca="false">K34-K16</f>
        <v>24328.1299536389</v>
      </c>
      <c r="L50" s="84" t="n">
        <f aca="false">L34-L16</f>
        <v>662484.836664386</v>
      </c>
      <c r="M50" s="84" t="n">
        <f aca="false">M34-M16</f>
        <v>1206146.88141211</v>
      </c>
      <c r="N50" s="84" t="n">
        <f aca="false">N34-N16</f>
        <v>1154904.49273546</v>
      </c>
      <c r="O50" s="84" t="n">
        <f aca="false">O34-O16</f>
        <v>366970.218535062</v>
      </c>
      <c r="P50" s="84" t="n">
        <f aca="false">P34-P16</f>
        <v>381649.027276464</v>
      </c>
      <c r="Q50" s="84" t="n">
        <f aca="false">Q34-Q16</f>
        <v>359819.760505265</v>
      </c>
      <c r="R50" s="84" t="n">
        <f aca="false">R34-R16</f>
        <v>498950.067900634</v>
      </c>
      <c r="S50" s="84" t="n">
        <f aca="false">S34-S16</f>
        <v>518908.070616659</v>
      </c>
      <c r="T50" s="84" t="n">
        <f aca="false">T34-T16</f>
        <v>539664.393441326</v>
      </c>
      <c r="U50" s="84" t="n">
        <f aca="false">U34-U16</f>
        <v>561250.969178979</v>
      </c>
      <c r="V50" s="50" t="n">
        <f aca="false">SUM(B50:U50)</f>
        <v>6345730.57177265</v>
      </c>
      <c r="W50" s="50" t="n">
        <f aca="false">NPV(Scenario_Analysis_4Cases!$B$6,B50:U50)</f>
        <v>3127907.22963463</v>
      </c>
      <c r="X50" s="50" t="n">
        <f aca="false">NPV(Scenario_Analysis_4Cases!$C$6,B50:U50)</f>
        <v>2733175.02748188</v>
      </c>
      <c r="Y50" s="50" t="n">
        <f aca="false">NPV(Scenario_Analysis_4Cases!$D$6,B50:U50)</f>
        <v>2393171.23578381</v>
      </c>
      <c r="Z50" s="50" t="n">
        <f aca="false">NPV(Scenario_Analysis_4Cases!$E$6,B50:U50)</f>
        <v>2099656.92755734</v>
      </c>
    </row>
    <row r="51" customFormat="false" ht="15" hidden="false" customHeight="true" outlineLevel="0" collapsed="false">
      <c r="A51" s="49" t="s">
        <v>249</v>
      </c>
      <c r="B51" s="84" t="n">
        <f aca="false">B43-B16</f>
        <v>-26446.6846125</v>
      </c>
      <c r="C51" s="84" t="n">
        <f aca="false">C43-C16</f>
        <v>18336.3679980001</v>
      </c>
      <c r="D51" s="84" t="n">
        <f aca="false">D43-D16</f>
        <v>19069.8227179199</v>
      </c>
      <c r="E51" s="84" t="n">
        <f aca="false">E43-E16</f>
        <v>19832.6156266367</v>
      </c>
      <c r="F51" s="84" t="n">
        <f aca="false">F43-F16</f>
        <v>20625.9202517023</v>
      </c>
      <c r="G51" s="84" t="n">
        <f aca="false">G43-G16</f>
        <v>-54945.3263745536</v>
      </c>
      <c r="H51" s="84" t="n">
        <f aca="false">H43-H16</f>
        <v>38095.4262863572</v>
      </c>
      <c r="I51" s="84" t="n">
        <f aca="false">I43-I16</f>
        <v>39619.2433378114</v>
      </c>
      <c r="J51" s="84" t="n">
        <f aca="false">J43-J16</f>
        <v>41204.0130713239</v>
      </c>
      <c r="K51" s="84" t="n">
        <f aca="false">K43-K16</f>
        <v>42852.1735941769</v>
      </c>
      <c r="L51" s="84" t="n">
        <f aca="false">L43-L16</f>
        <v>621801.833278323</v>
      </c>
      <c r="M51" s="84" t="n">
        <f aca="false">M43-M16</f>
        <v>1234353.76375978</v>
      </c>
      <c r="N51" s="84" t="n">
        <f aca="false">N43-N16</f>
        <v>1285439.32911521</v>
      </c>
      <c r="O51" s="84" t="n">
        <f aca="false">O43-O16</f>
        <v>1338568.31708486</v>
      </c>
      <c r="P51" s="84" t="n">
        <f aca="false">P43-P16</f>
        <v>1393822.46457329</v>
      </c>
      <c r="Q51" s="84" t="n">
        <f aca="false">Q43-Q16</f>
        <v>1246793.98317415</v>
      </c>
      <c r="R51" s="84" t="n">
        <f aca="false">R43-R16</f>
        <v>1298853.25046014</v>
      </c>
      <c r="S51" s="84" t="n">
        <f aca="false">S43-S16</f>
        <v>950389.180086186</v>
      </c>
      <c r="T51" s="84" t="n">
        <f aca="false">T43-T16</f>
        <v>988404.747289633</v>
      </c>
      <c r="U51" s="84" t="n">
        <f aca="false">U43-U16</f>
        <v>1027940.93718122</v>
      </c>
      <c r="V51" s="50" t="n">
        <f aca="false">SUM(B51:U51)</f>
        <v>11544611.3778997</v>
      </c>
      <c r="W51" s="50" t="n">
        <f aca="false">NPV(Scenario_Analysis_4Cases!$B$6,B51:U51)</f>
        <v>5496584.52187089</v>
      </c>
      <c r="X51" s="50" t="n">
        <f aca="false">NPV(Scenario_Analysis_4Cases!$C$6,B51:U51)</f>
        <v>4768884.30487491</v>
      </c>
      <c r="Y51" s="50" t="n">
        <f aca="false">NPV(Scenario_Analysis_4Cases!$D$6,B51:U51)</f>
        <v>4145910.15968895</v>
      </c>
      <c r="Z51" s="50" t="n">
        <f aca="false">NPV(Scenario_Analysis_4Cases!$E$6,B51:U51)</f>
        <v>3611458.72681385</v>
      </c>
    </row>
    <row r="52" customFormat="false" ht="75" hidden="false" customHeight="true" outlineLevel="0" collapsed="false">
      <c r="A52" s="85" t="s">
        <v>250</v>
      </c>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49.5" hidden="false" customHeight="true" outlineLevel="0" collapsed="false">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9" customFormat="false" ht="15" hidden="false" customHeight="true" outlineLevel="0" collapsed="false">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sheetData>
  <mergeCells count="7">
    <mergeCell ref="A1:Z1"/>
    <mergeCell ref="A2:Z2"/>
    <mergeCell ref="A9:Z9"/>
    <mergeCell ref="A47:Z47"/>
    <mergeCell ref="A52:Z52"/>
    <mergeCell ref="A57:Z57"/>
    <mergeCell ref="A59:Z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6"/>
    <col collapsed="false" customWidth="true" hidden="false" outlineLevel="0" max="22" min="3" style="1" width="11"/>
  </cols>
  <sheetData>
    <row r="1" customFormat="false" ht="17.25" hidden="false" customHeight="true" outlineLevel="0" collapsed="false">
      <c r="A1" s="9" t="s">
        <v>251</v>
      </c>
      <c r="B1" s="9"/>
      <c r="C1" s="9"/>
      <c r="D1" s="9"/>
      <c r="E1" s="9"/>
      <c r="F1" s="9"/>
      <c r="G1" s="9"/>
      <c r="H1" s="9"/>
    </row>
    <row r="2" customFormat="false" ht="60" hidden="false" customHeight="true" outlineLevel="0" collapsed="false">
      <c r="A2" s="17" t="s">
        <v>252</v>
      </c>
      <c r="B2" s="17"/>
      <c r="C2" s="17"/>
      <c r="D2" s="17"/>
      <c r="E2" s="17"/>
      <c r="F2" s="17"/>
      <c r="G2" s="17"/>
      <c r="H2" s="17"/>
    </row>
    <row r="4" customFormat="false" ht="15" hidden="false" customHeight="true" outlineLevel="0" collapsed="false">
      <c r="A4" s="10" t="s">
        <v>253</v>
      </c>
      <c r="B4" s="10"/>
      <c r="C4" s="10"/>
      <c r="D4" s="10"/>
      <c r="E4" s="10"/>
      <c r="F4" s="10"/>
      <c r="G4" s="10"/>
      <c r="H4" s="10"/>
    </row>
    <row r="5" customFormat="false" ht="15" hidden="false" customHeight="true" outlineLevel="0" collapsed="false">
      <c r="A5" s="56" t="s">
        <v>254</v>
      </c>
      <c r="B5" s="24" t="n">
        <f aca="false">Assumptions!$B$15</f>
        <v>7269118.57</v>
      </c>
      <c r="C5" s="17" t="s">
        <v>255</v>
      </c>
      <c r="D5" s="17"/>
      <c r="E5" s="17"/>
      <c r="F5" s="17"/>
      <c r="G5" s="17"/>
      <c r="H5" s="17"/>
    </row>
    <row r="6" customFormat="false" ht="15" hidden="false" customHeight="true" outlineLevel="0" collapsed="false">
      <c r="A6" s="56" t="s">
        <v>256</v>
      </c>
      <c r="B6" s="87" t="n">
        <f aca="false">Assumptions!$B$13</f>
        <v>0.046</v>
      </c>
      <c r="C6" s="17" t="s">
        <v>257</v>
      </c>
      <c r="D6" s="17"/>
      <c r="E6" s="17"/>
      <c r="F6" s="17"/>
      <c r="G6" s="17"/>
      <c r="H6" s="17"/>
    </row>
    <row r="7" customFormat="false" ht="15" hidden="false" customHeight="true" outlineLevel="0" collapsed="false">
      <c r="A7" s="56" t="s">
        <v>258</v>
      </c>
      <c r="B7" s="24" t="n">
        <f aca="false">Assumptions!$B$9</f>
        <v>37179</v>
      </c>
      <c r="C7" s="17" t="s">
        <v>259</v>
      </c>
      <c r="D7" s="17"/>
      <c r="E7" s="17"/>
      <c r="F7" s="17"/>
      <c r="G7" s="17"/>
      <c r="H7" s="17"/>
    </row>
    <row r="8" customFormat="false" ht="15" hidden="false" customHeight="true" outlineLevel="0" collapsed="false">
      <c r="A8" s="56" t="s">
        <v>260</v>
      </c>
      <c r="B8" s="87" t="n">
        <f aca="false">Assumptions!$B$4</f>
        <v>0.0125</v>
      </c>
      <c r="C8" s="17" t="s">
        <v>261</v>
      </c>
      <c r="D8" s="17"/>
      <c r="E8" s="17"/>
      <c r="F8" s="17"/>
      <c r="G8" s="17"/>
      <c r="H8" s="17"/>
    </row>
    <row r="9" customFormat="false" ht="15" hidden="false" customHeight="true" outlineLevel="0" collapsed="false">
      <c r="A9" s="56" t="s">
        <v>262</v>
      </c>
      <c r="B9" s="88" t="n">
        <f aca="false">Assumptions!$B$5</f>
        <v>1.27866</v>
      </c>
      <c r="C9" s="17" t="s">
        <v>263</v>
      </c>
      <c r="D9" s="17"/>
      <c r="E9" s="17"/>
      <c r="F9" s="17"/>
      <c r="G9" s="17"/>
      <c r="H9" s="17"/>
    </row>
    <row r="10" customFormat="false" ht="15" hidden="false" customHeight="true" outlineLevel="0" collapsed="false">
      <c r="A10" s="56" t="s">
        <v>264</v>
      </c>
      <c r="B10" s="87" t="n">
        <f aca="false">1-Assumptions!$B$7</f>
        <v>0.9</v>
      </c>
      <c r="C10" s="17" t="s">
        <v>265</v>
      </c>
      <c r="D10" s="17"/>
      <c r="E10" s="17"/>
      <c r="F10" s="17"/>
      <c r="G10" s="17"/>
      <c r="H10" s="17"/>
    </row>
    <row r="11" customFormat="false" ht="15" hidden="false" customHeight="true" outlineLevel="0" collapsed="false">
      <c r="A11" s="56" t="s">
        <v>266</v>
      </c>
      <c r="B11" s="12" t="n">
        <v>0</v>
      </c>
      <c r="C11" s="17" t="s">
        <v>267</v>
      </c>
      <c r="D11" s="17"/>
      <c r="E11" s="17"/>
      <c r="F11" s="17"/>
      <c r="G11" s="17"/>
      <c r="H11" s="17"/>
    </row>
    <row r="12" customFormat="false" ht="15" hidden="false" customHeight="true" outlineLevel="0" collapsed="false">
      <c r="A12" s="56" t="s">
        <v>268</v>
      </c>
      <c r="B12" s="53" t="n">
        <v>2026</v>
      </c>
      <c r="C12" s="17" t="s">
        <v>269</v>
      </c>
      <c r="D12" s="17"/>
      <c r="E12" s="17"/>
      <c r="F12" s="17"/>
      <c r="G12" s="17"/>
      <c r="H12" s="17"/>
    </row>
    <row r="13" customFormat="false" ht="15" hidden="false" customHeight="true" outlineLevel="0" collapsed="false">
      <c r="A13" s="56" t="s">
        <v>270</v>
      </c>
      <c r="B13" s="53" t="n">
        <v>2045</v>
      </c>
      <c r="C13" s="17" t="s">
        <v>271</v>
      </c>
      <c r="D13" s="17"/>
      <c r="E13" s="17"/>
      <c r="F13" s="17"/>
      <c r="G13" s="17"/>
      <c r="H13" s="17"/>
    </row>
    <row r="15" customFormat="false" ht="15" hidden="false" customHeight="true" outlineLevel="0" collapsed="false">
      <c r="A15" s="10" t="s">
        <v>272</v>
      </c>
      <c r="B15" s="10"/>
      <c r="C15" s="10"/>
      <c r="D15" s="10"/>
      <c r="E15" s="10"/>
      <c r="F15" s="10"/>
      <c r="G15" s="10"/>
      <c r="H15" s="10"/>
    </row>
    <row r="16" customFormat="false" ht="15" hidden="false" customHeight="true" outlineLevel="0" collapsed="false">
      <c r="A16" s="11" t="s">
        <v>273</v>
      </c>
      <c r="B16" s="89" t="n">
        <f aca="false">Note_Payoff_Breakeven!$B$13-Note_Payoff_Breakeven!$B$12+1</f>
        <v>20</v>
      </c>
    </row>
    <row r="17" customFormat="false" ht="15" hidden="false" customHeight="true" outlineLevel="0" collapsed="false">
      <c r="A17" s="11" t="s">
        <v>274</v>
      </c>
      <c r="B17" s="52" t="n">
        <f aca="false">PMT(Note_Payoff_Breakeven!$B$6,Note_Payoff_Breakeven!$B$16,-Note_Payoff_Breakeven!$B$5)</f>
        <v>563674.523421807</v>
      </c>
      <c r="C17" s="17" t="s">
        <v>275</v>
      </c>
      <c r="D17" s="17"/>
      <c r="E17" s="17"/>
      <c r="F17" s="17"/>
      <c r="G17" s="17"/>
      <c r="H17" s="17"/>
    </row>
    <row r="18" customFormat="false" ht="15" hidden="false" customHeight="true" outlineLevel="0" collapsed="false">
      <c r="A18" s="11" t="s">
        <v>276</v>
      </c>
      <c r="B18" s="52" t="n">
        <f aca="false">Note_Payoff_Breakeven!$B$17/Note_Payoff_Breakeven!$B$10/Note_Payoff_Breakeven!$B$9</f>
        <v>489813.575167933</v>
      </c>
      <c r="C18" s="17" t="s">
        <v>277</v>
      </c>
      <c r="D18" s="17"/>
      <c r="E18" s="17"/>
      <c r="F18" s="17"/>
      <c r="G18" s="17"/>
      <c r="H18" s="17"/>
    </row>
    <row r="19" customFormat="false" ht="15" hidden="false" customHeight="true" outlineLevel="0" collapsed="false">
      <c r="A19" s="90" t="s">
        <v>278</v>
      </c>
      <c r="B19" s="55" t="n">
        <f aca="false">(Note_Payoff_Breakeven!$B$18+Note_Payoff_Breakeven!$B$7)/Note_Payoff_Breakeven!$B$8</f>
        <v>42159406.0134347</v>
      </c>
      <c r="C19" s="17" t="s">
        <v>279</v>
      </c>
      <c r="D19" s="17"/>
      <c r="E19" s="17"/>
      <c r="F19" s="17"/>
      <c r="G19" s="17"/>
      <c r="H19" s="17"/>
    </row>
    <row r="20" customFormat="false" ht="15" hidden="false" customHeight="true" outlineLevel="0" collapsed="false">
      <c r="A20" s="11" t="s">
        <v>280</v>
      </c>
      <c r="B20" s="24" t="n">
        <f aca="false">Assumptions!$B$18</f>
        <v>43835000</v>
      </c>
    </row>
    <row r="21" customFormat="false" ht="15" hidden="false" customHeight="true" outlineLevel="0" collapsed="false">
      <c r="A21" s="11" t="s">
        <v>281</v>
      </c>
      <c r="B21" s="52" t="n">
        <f aca="false">Assumptions!$B$18-Note_Payoff_Breakeven!$B$19</f>
        <v>1675593.98656532</v>
      </c>
      <c r="C21" s="91" t="n">
        <f aca="false">(Assumptions!$B$18-Note_Payoff_Breakeven!$B$19)/Assumptions!$B$18</f>
        <v>0.0382250253579405</v>
      </c>
      <c r="D21" s="17" t="s">
        <v>282</v>
      </c>
      <c r="E21" s="17"/>
      <c r="F21" s="17"/>
      <c r="G21" s="17"/>
      <c r="H21" s="17"/>
    </row>
    <row r="23" customFormat="false" ht="15" hidden="false" customHeight="true" outlineLevel="0" collapsed="false">
      <c r="A23" s="10" t="s">
        <v>283</v>
      </c>
      <c r="B23" s="10"/>
      <c r="C23" s="10"/>
      <c r="D23" s="10"/>
      <c r="E23" s="10"/>
      <c r="F23" s="10"/>
      <c r="G23" s="10"/>
      <c r="H23" s="10"/>
    </row>
    <row r="24" customFormat="false" ht="31.5" hidden="false" customHeight="true" outlineLevel="0" collapsed="false">
      <c r="A24" s="18" t="s">
        <v>101</v>
      </c>
      <c r="B24" s="18" t="s">
        <v>284</v>
      </c>
      <c r="C24" s="18" t="s">
        <v>285</v>
      </c>
      <c r="D24" s="18" t="s">
        <v>286</v>
      </c>
      <c r="E24" s="18" t="s">
        <v>287</v>
      </c>
    </row>
    <row r="25" customFormat="false" ht="15" hidden="false" customHeight="true" outlineLevel="0" collapsed="false">
      <c r="A25" s="31" t="s">
        <v>288</v>
      </c>
      <c r="B25" s="14" t="n">
        <v>54866000</v>
      </c>
      <c r="C25" s="52" t="n">
        <f aca="false">MAX(0,B25*Note_Payoff_Breakeven!$B$8-Note_Payoff_Breakeven!$B$7)*Note_Payoff_Breakeven!$B$9*Note_Payoff_Breakeven!$B$10</f>
        <v>746457.924924</v>
      </c>
      <c r="D25" s="92" t="n">
        <f aca="false">IFERROR(INDEX($C$38:$V$38,MATCH(0,$C$39:$V$39,0)),"NOT PAID")</f>
        <v>2039</v>
      </c>
      <c r="E25" s="52" t="n">
        <f aca="false">V39</f>
        <v>0</v>
      </c>
    </row>
    <row r="26" customFormat="false" ht="15" hidden="false" customHeight="true" outlineLevel="0" collapsed="false">
      <c r="A26" s="31" t="s">
        <v>289</v>
      </c>
      <c r="B26" s="14" t="n">
        <v>52151000</v>
      </c>
      <c r="C26" s="52" t="n">
        <f aca="false">MAX(0,B26*Note_Payoff_Breakeven!$B$8-Note_Payoff_Breakeven!$B$7)*Note_Payoff_Breakeven!$B$9*Note_Payoff_Breakeven!$B$10</f>
        <v>707402.853549</v>
      </c>
      <c r="D26" s="92" t="n">
        <f aca="false">IFERROR(INDEX($C$38:$V$38,MATCH(0,$C$40:$V$40,0)),"NOT PAID")</f>
        <v>2040</v>
      </c>
      <c r="E26" s="52" t="n">
        <f aca="false">V40</f>
        <v>0</v>
      </c>
    </row>
    <row r="27" customFormat="false" ht="15" hidden="false" customHeight="true" outlineLevel="0" collapsed="false">
      <c r="A27" s="31" t="s">
        <v>290</v>
      </c>
      <c r="B27" s="14" t="n">
        <v>50000000</v>
      </c>
      <c r="C27" s="52" t="n">
        <f aca="false">MAX(0,B27*Note_Payoff_Breakeven!$B$8-Note_Payoff_Breakeven!$B$7)*Note_Payoff_Breakeven!$B$9*Note_Payoff_Breakeven!$B$10</f>
        <v>676460.879874</v>
      </c>
      <c r="D27" s="92" t="n">
        <f aca="false">IFERROR(INDEX($C$38:$V$38,MATCH(0,$C$41:$V$41,0)),"NOT PAID")</f>
        <v>2041</v>
      </c>
      <c r="E27" s="52" t="n">
        <f aca="false">V41</f>
        <v>0</v>
      </c>
    </row>
    <row r="28" customFormat="false" ht="15" hidden="false" customHeight="true" outlineLevel="0" collapsed="false">
      <c r="A28" s="31" t="s">
        <v>291</v>
      </c>
      <c r="B28" s="14" t="n">
        <v>47500000</v>
      </c>
      <c r="C28" s="52" t="n">
        <f aca="false">MAX(0,B28*Note_Payoff_Breakeven!$B$8-Note_Payoff_Breakeven!$B$7)*Note_Payoff_Breakeven!$B$9*Note_Payoff_Breakeven!$B$10</f>
        <v>640498.567374</v>
      </c>
      <c r="D28" s="92" t="n">
        <f aca="false">IFERROR(INDEX($C$38:$V$38,MATCH(0,$C$42:$V$42,0)),"NOT PAID")</f>
        <v>2042</v>
      </c>
      <c r="E28" s="52" t="n">
        <f aca="false">V42</f>
        <v>0</v>
      </c>
    </row>
    <row r="29" customFormat="false" ht="15" hidden="false" customHeight="true" outlineLevel="0" collapsed="false">
      <c r="A29" s="31" t="s">
        <v>292</v>
      </c>
      <c r="B29" s="14" t="n">
        <v>45000000</v>
      </c>
      <c r="C29" s="52" t="n">
        <f aca="false">MAX(0,B29*Note_Payoff_Breakeven!$B$8-Note_Payoff_Breakeven!$B$7)*Note_Payoff_Breakeven!$B$9*Note_Payoff_Breakeven!$B$10</f>
        <v>604536.254874</v>
      </c>
      <c r="D29" s="92" t="n">
        <f aca="false">IFERROR(INDEX($C$38:$V$38,MATCH(0,$C$43:$V$43,0)),"NOT PAID")</f>
        <v>2043</v>
      </c>
      <c r="E29" s="52" t="n">
        <f aca="false">V43</f>
        <v>0</v>
      </c>
    </row>
    <row r="30" customFormat="false" ht="15" hidden="false" customHeight="true" outlineLevel="0" collapsed="false">
      <c r="A30" s="31" t="s">
        <v>293</v>
      </c>
      <c r="B30" s="14" t="n">
        <v>43835000</v>
      </c>
      <c r="C30" s="52" t="n">
        <f aca="false">MAX(0,B30*Note_Payoff_Breakeven!$B$8-Note_Payoff_Breakeven!$B$7)*Note_Payoff_Breakeven!$B$9*Note_Payoff_Breakeven!$B$10</f>
        <v>587777.817249</v>
      </c>
      <c r="D30" s="92" t="n">
        <f aca="false">IFERROR(INDEX($C$38:$V$38,MATCH(0,$C$44:$V$44,0)),"NOT PAID")</f>
        <v>2044</v>
      </c>
      <c r="E30" s="52" t="n">
        <f aca="false">V44</f>
        <v>0</v>
      </c>
    </row>
    <row r="31" customFormat="false" ht="15" hidden="false" customHeight="true" outlineLevel="0" collapsed="false">
      <c r="A31" s="31" t="s">
        <v>294</v>
      </c>
      <c r="B31" s="14" t="n">
        <v>42835000</v>
      </c>
      <c r="C31" s="52" t="n">
        <f aca="false">MAX(0,B31*Note_Payoff_Breakeven!$B$8-Note_Payoff_Breakeven!$B$7)*Note_Payoff_Breakeven!$B$9*Note_Payoff_Breakeven!$B$10</f>
        <v>573392.892249</v>
      </c>
      <c r="D31" s="92" t="n">
        <f aca="false">IFERROR(INDEX($C$38:$V$38,MATCH(0,$C$45:$V$45,0)),"NOT PAID")</f>
        <v>2045</v>
      </c>
      <c r="E31" s="52" t="n">
        <f aca="false">V45</f>
        <v>0</v>
      </c>
    </row>
    <row r="32" customFormat="false" ht="15" hidden="false" customHeight="true" outlineLevel="0" collapsed="false">
      <c r="A32" s="31" t="s">
        <v>295</v>
      </c>
      <c r="B32" s="24" t="n">
        <f aca="false">Note_Payoff_Breakeven!$B$19</f>
        <v>42159406.0134347</v>
      </c>
      <c r="C32" s="52" t="n">
        <f aca="false">MAX(0,B32*Note_Payoff_Breakeven!$B$8-Note_Payoff_Breakeven!$B$7)*Note_Payoff_Breakeven!$B$9*Note_Payoff_Breakeven!$B$10</f>
        <v>563674.523421807</v>
      </c>
      <c r="D32" s="92" t="n">
        <f aca="false">IFERROR(INDEX($C$38:$V$38,MATCH(0,$C$46:$V$46,0)),"NOT PAID")</f>
        <v>2045</v>
      </c>
      <c r="E32" s="52" t="n">
        <f aca="false">V46</f>
        <v>0</v>
      </c>
    </row>
    <row r="33" customFormat="false" ht="15" hidden="false" customHeight="true" outlineLevel="0" collapsed="false">
      <c r="A33" s="31" t="s">
        <v>296</v>
      </c>
      <c r="B33" s="24" t="n">
        <f aca="false">Note_Payoff_Breakeven!$B$19-500000</f>
        <v>41659406.0134347</v>
      </c>
      <c r="C33" s="52" t="n">
        <f aca="false">MAX(0,B33*Note_Payoff_Breakeven!$B$8-Note_Payoff_Breakeven!$B$7)*Note_Payoff_Breakeven!$B$9*Note_Payoff_Breakeven!$B$10</f>
        <v>556482.060921807</v>
      </c>
      <c r="D33" s="92" t="str">
        <f aca="false">IFERROR(INDEX($C$38:$V$38,MATCH(0,$C$47:$V$47,0)),"NOT PAID")</f>
        <v>NOT PAID</v>
      </c>
      <c r="E33" s="52" t="n">
        <f aca="false">V47</f>
        <v>228015.643357609</v>
      </c>
    </row>
    <row r="34" customFormat="false" ht="15" hidden="false" customHeight="true" outlineLevel="0" collapsed="false">
      <c r="A34" s="31" t="s">
        <v>297</v>
      </c>
      <c r="B34" s="24" t="n">
        <f aca="false">Note_Payoff_Breakeven!$B$19-1000000</f>
        <v>41159406.0134347</v>
      </c>
      <c r="C34" s="52" t="n">
        <f aca="false">MAX(0,B34*Note_Payoff_Breakeven!$B$8-Note_Payoff_Breakeven!$B$7)*Note_Payoff_Breakeven!$B$9*Note_Payoff_Breakeven!$B$10</f>
        <v>549289.598421807</v>
      </c>
      <c r="D34" s="92" t="str">
        <f aca="false">IFERROR(INDEX($C$38:$V$38,MATCH(0,$C$48:$V$48,0)),"NOT PAID")</f>
        <v>NOT PAID</v>
      </c>
      <c r="E34" s="52" t="n">
        <f aca="false">V48</f>
        <v>456031.286715233</v>
      </c>
    </row>
    <row r="37" customFormat="false" ht="15" hidden="false" customHeight="true" outlineLevel="0" collapsed="false">
      <c r="A37" s="10" t="s">
        <v>298</v>
      </c>
      <c r="B37" s="10"/>
      <c r="C37" s="10"/>
      <c r="D37" s="10"/>
      <c r="E37" s="10"/>
      <c r="F37" s="10"/>
      <c r="G37" s="10"/>
      <c r="H37" s="10"/>
      <c r="I37" s="10"/>
      <c r="J37" s="10"/>
      <c r="K37" s="10"/>
      <c r="L37" s="10"/>
      <c r="M37" s="10"/>
      <c r="N37" s="10"/>
      <c r="O37" s="10"/>
      <c r="P37" s="10"/>
      <c r="Q37" s="10"/>
      <c r="R37" s="10"/>
      <c r="S37" s="10"/>
      <c r="T37" s="10"/>
      <c r="U37" s="10"/>
      <c r="V37" s="10"/>
    </row>
    <row r="38" customFormat="false" ht="25.5" hidden="false" customHeight="true" outlineLevel="0" collapsed="false">
      <c r="A38" s="18" t="s">
        <v>101</v>
      </c>
      <c r="B38" s="18" t="s">
        <v>299</v>
      </c>
      <c r="C38" s="18" t="n">
        <v>2026</v>
      </c>
      <c r="D38" s="18" t="n">
        <v>2027</v>
      </c>
      <c r="E38" s="18" t="n">
        <v>2028</v>
      </c>
      <c r="F38" s="18" t="n">
        <v>2029</v>
      </c>
      <c r="G38" s="18" t="n">
        <v>2030</v>
      </c>
      <c r="H38" s="18" t="n">
        <v>2031</v>
      </c>
      <c r="I38" s="18" t="n">
        <v>2032</v>
      </c>
      <c r="J38" s="18" t="n">
        <v>2033</v>
      </c>
      <c r="K38" s="18" t="n">
        <v>2034</v>
      </c>
      <c r="L38" s="18" t="n">
        <v>2035</v>
      </c>
      <c r="M38" s="18" t="n">
        <v>2036</v>
      </c>
      <c r="N38" s="18" t="n">
        <v>2037</v>
      </c>
      <c r="O38" s="18" t="n">
        <v>2038</v>
      </c>
      <c r="P38" s="18" t="n">
        <v>2039</v>
      </c>
      <c r="Q38" s="18" t="n">
        <v>2040</v>
      </c>
      <c r="R38" s="18" t="n">
        <v>2041</v>
      </c>
      <c r="S38" s="18" t="n">
        <v>2042</v>
      </c>
      <c r="T38" s="18" t="n">
        <v>2043</v>
      </c>
      <c r="U38" s="18" t="n">
        <v>2044</v>
      </c>
      <c r="V38" s="18" t="n">
        <v>2045</v>
      </c>
    </row>
    <row r="39" customFormat="false" ht="15" hidden="false" customHeight="true" outlineLevel="0" collapsed="false">
      <c r="A39" s="93" t="str">
        <f aca="false">A25</f>
        <v>Current 2025 baseline</v>
      </c>
      <c r="B39" s="24" t="n">
        <f aca="false">B25</f>
        <v>54866000</v>
      </c>
      <c r="C39" s="52" t="n">
        <f aca="false">MAX(0,Note_Payoff_Breakeven!$B$5+Note_Payoff_Breakeven!$B$5*Note_Payoff_Breakeven!$B$6-MAX(0,B39*POWER(1+Note_Payoff_Breakeven!$B$11,0)*Note_Payoff_Breakeven!$B$8-Note_Payoff_Breakeven!$B$7)*Note_Payoff_Breakeven!$B$9*Note_Payoff_Breakeven!$B$10)</f>
        <v>6857040.099296</v>
      </c>
      <c r="D39" s="52" t="n">
        <f aca="false">MAX(0,C39+C39*Note_Payoff_Breakeven!$B$6-MAX(0,B39*POWER(1+Note_Payoff_Breakeven!$B$11,1)*Note_Payoff_Breakeven!$B$8-Note_Payoff_Breakeven!$B$7)*Note_Payoff_Breakeven!$B$9*Note_Payoff_Breakeven!$B$10)</f>
        <v>6426006.01893962</v>
      </c>
      <c r="E39" s="52" t="n">
        <f aca="false">MAX(0,D39+D39*Note_Payoff_Breakeven!$B$6-MAX(0,B39*POWER(1+Note_Payoff_Breakeven!$B$11,2)*Note_Payoff_Breakeven!$B$8-Note_Payoff_Breakeven!$B$7)*Note_Payoff_Breakeven!$B$9*Note_Payoff_Breakeven!$B$10)</f>
        <v>5975144.37088684</v>
      </c>
      <c r="F39" s="52" t="n">
        <f aca="false">MAX(0,E39+E39*Note_Payoff_Breakeven!$B$6-MAX(0,B39*POWER(1+Note_Payoff_Breakeven!$B$11,3)*Note_Payoff_Breakeven!$B$8-Note_Payoff_Breakeven!$B$7)*Note_Payoff_Breakeven!$B$9*Note_Payoff_Breakeven!$B$10)</f>
        <v>5503543.08702363</v>
      </c>
      <c r="G39" s="52" t="n">
        <f aca="false">MAX(0,F39+F39*Note_Payoff_Breakeven!$B$6-MAX(0,B39*POWER(1+Note_Payoff_Breakeven!$B$11,4)*Note_Payoff_Breakeven!$B$8-Note_Payoff_Breakeven!$B$7)*Note_Payoff_Breakeven!$B$9*Note_Payoff_Breakeven!$B$10)</f>
        <v>5010248.14410272</v>
      </c>
      <c r="H39" s="52" t="n">
        <f aca="false">MAX(0,G39+G39*Note_Payoff_Breakeven!$B$6-MAX(0,B39*POWER(1+Note_Payoff_Breakeven!$B$11,5)*Note_Payoff_Breakeven!$B$8-Note_Payoff_Breakeven!$B$7)*Note_Payoff_Breakeven!$B$9*Note_Payoff_Breakeven!$B$10)</f>
        <v>4494261.63380744</v>
      </c>
      <c r="I39" s="52" t="n">
        <f aca="false">MAX(0,H39+H39*Note_Payoff_Breakeven!$B$6-MAX(0,B39*POWER(1+Note_Payoff_Breakeven!$B$11,6)*Note_Payoff_Breakeven!$B$8-Note_Payoff_Breakeven!$B$7)*Note_Payoff_Breakeven!$B$9*Note_Payoff_Breakeven!$B$10)</f>
        <v>3954539.74403859</v>
      </c>
      <c r="J39" s="52" t="n">
        <f aca="false">MAX(0,I39+I39*Note_Payoff_Breakeven!$B$6-MAX(0,B39*POWER(1+Note_Payoff_Breakeven!$B$11,7)*Note_Payoff_Breakeven!$B$8-Note_Payoff_Breakeven!$B$7)*Note_Payoff_Breakeven!$B$9*Note_Payoff_Breakeven!$B$10)</f>
        <v>3389990.64734036</v>
      </c>
      <c r="K39" s="52" t="n">
        <f aca="false">MAX(0,J39+J39*Note_Payoff_Breakeven!$B$6-MAX(0,B39*POWER(1+Note_Payoff_Breakeven!$B$11,8)*Note_Payoff_Breakeven!$B$8-Note_Payoff_Breakeven!$B$7)*Note_Payoff_Breakeven!$B$9*Note_Payoff_Breakeven!$B$10)</f>
        <v>2799472.29219402</v>
      </c>
      <c r="L39" s="52" t="n">
        <f aca="false">MAX(0,K39+K39*Note_Payoff_Breakeven!$B$6-MAX(0,B39*POWER(1+Note_Payoff_Breakeven!$B$11,9)*Note_Payoff_Breakeven!$B$8-Note_Payoff_Breakeven!$B$7)*Note_Payoff_Breakeven!$B$9*Note_Payoff_Breakeven!$B$10)</f>
        <v>2181790.09271094</v>
      </c>
      <c r="M39" s="52" t="n">
        <f aca="false">MAX(0,L39+L39*Note_Payoff_Breakeven!$B$6-MAX(0,B39*POWER(1+Note_Payoff_Breakeven!$B$11,10)*Note_Payoff_Breakeven!$B$8-Note_Payoff_Breakeven!$B$7)*Note_Payoff_Breakeven!$B$9*Note_Payoff_Breakeven!$B$10)</f>
        <v>1535694.51205165</v>
      </c>
      <c r="N39" s="52" t="n">
        <f aca="false">MAX(0,M39+M39*Note_Payoff_Breakeven!$B$6-MAX(0,B39*POWER(1+Note_Payoff_Breakeven!$B$11,11)*Note_Payoff_Breakeven!$B$8-Note_Payoff_Breakeven!$B$7)*Note_Payoff_Breakeven!$B$9*Note_Payoff_Breakeven!$B$10)</f>
        <v>859878.534682023</v>
      </c>
      <c r="O39" s="52" t="n">
        <f aca="false">MAX(0,N39+N39*Note_Payoff_Breakeven!$B$6-MAX(0,B39*POWER(1+Note_Payoff_Breakeven!$B$11,12)*Note_Payoff_Breakeven!$B$8-Note_Payoff_Breakeven!$B$7)*Note_Payoff_Breakeven!$B$9*Note_Payoff_Breakeven!$B$10)</f>
        <v>152975.022353396</v>
      </c>
      <c r="P39" s="52" t="n">
        <f aca="false">MAX(0,O39+O39*Note_Payoff_Breakeven!$B$6-MAX(0,B39*POWER(1+Note_Payoff_Breakeven!$B$11,13)*Note_Payoff_Breakeven!$B$8-Note_Payoff_Breakeven!$B$7)*Note_Payoff_Breakeven!$B$9*Note_Payoff_Breakeven!$B$10)</f>
        <v>0</v>
      </c>
      <c r="Q39" s="52" t="n">
        <f aca="false">MAX(0,P39+P39*Note_Payoff_Breakeven!$B$6-MAX(0,B39*POWER(1+Note_Payoff_Breakeven!$B$11,14)*Note_Payoff_Breakeven!$B$8-Note_Payoff_Breakeven!$B$7)*Note_Payoff_Breakeven!$B$9*Note_Payoff_Breakeven!$B$10)</f>
        <v>0</v>
      </c>
      <c r="R39" s="52" t="n">
        <f aca="false">MAX(0,Q39+Q39*Note_Payoff_Breakeven!$B$6-MAX(0,B39*POWER(1+Note_Payoff_Breakeven!$B$11,15)*Note_Payoff_Breakeven!$B$8-Note_Payoff_Breakeven!$B$7)*Note_Payoff_Breakeven!$B$9*Note_Payoff_Breakeven!$B$10)</f>
        <v>0</v>
      </c>
      <c r="S39" s="52" t="n">
        <f aca="false">MAX(0,R39+R39*Note_Payoff_Breakeven!$B$6-MAX(0,B39*POWER(1+Note_Payoff_Breakeven!$B$11,16)*Note_Payoff_Breakeven!$B$8-Note_Payoff_Breakeven!$B$7)*Note_Payoff_Breakeven!$B$9*Note_Payoff_Breakeven!$B$10)</f>
        <v>0</v>
      </c>
      <c r="T39" s="52" t="n">
        <f aca="false">MAX(0,S39+S39*Note_Payoff_Breakeven!$B$6-MAX(0,B39*POWER(1+Note_Payoff_Breakeven!$B$11,17)*Note_Payoff_Breakeven!$B$8-Note_Payoff_Breakeven!$B$7)*Note_Payoff_Breakeven!$B$9*Note_Payoff_Breakeven!$B$10)</f>
        <v>0</v>
      </c>
      <c r="U39" s="52" t="n">
        <f aca="false">MAX(0,T39+T39*Note_Payoff_Breakeven!$B$6-MAX(0,B39*POWER(1+Note_Payoff_Breakeven!$B$11,18)*Note_Payoff_Breakeven!$B$8-Note_Payoff_Breakeven!$B$7)*Note_Payoff_Breakeven!$B$9*Note_Payoff_Breakeven!$B$10)</f>
        <v>0</v>
      </c>
      <c r="V39" s="52" t="n">
        <f aca="false">MAX(0,U39+U39*Note_Payoff_Breakeven!$B$6-MAX(0,B39*POWER(1+Note_Payoff_Breakeven!$B$11,19)*Note_Payoff_Breakeven!$B$8-Note_Payoff_Breakeven!$B$7)*Note_Payoff_Breakeven!$B$9*Note_Payoff_Breakeven!$B$10)</f>
        <v>0</v>
      </c>
    </row>
    <row r="40" customFormat="false" ht="15" hidden="false" customHeight="true" outlineLevel="0" collapsed="false">
      <c r="A40" s="93" t="str">
        <f aca="false">A26</f>
        <v>County-set 2026 (no appeal)</v>
      </c>
      <c r="B40" s="24" t="n">
        <f aca="false">B26</f>
        <v>52151000</v>
      </c>
      <c r="C40" s="52" t="n">
        <f aca="false">MAX(0,Note_Payoff_Breakeven!$B$5+Note_Payoff_Breakeven!$B$5*Note_Payoff_Breakeven!$B$6-MAX(0,B40*POWER(1+Note_Payoff_Breakeven!$B$11,0)*Note_Payoff_Breakeven!$B$8-Note_Payoff_Breakeven!$B$7)*Note_Payoff_Breakeven!$B$9*Note_Payoff_Breakeven!$B$10)</f>
        <v>6896095.170671</v>
      </c>
      <c r="D40" s="52" t="n">
        <f aca="false">MAX(0,C40+C40*Note_Payoff_Breakeven!$B$6-MAX(0,B40*POWER(1+Note_Payoff_Breakeven!$B$11,1)*Note_Payoff_Breakeven!$B$8-Note_Payoff_Breakeven!$B$7)*Note_Payoff_Breakeven!$B$9*Note_Payoff_Breakeven!$B$10)</f>
        <v>6505912.69497287</v>
      </c>
      <c r="E40" s="52" t="n">
        <f aca="false">MAX(0,D40+D40*Note_Payoff_Breakeven!$B$6-MAX(0,B40*POWER(1+Note_Payoff_Breakeven!$B$11,2)*Note_Payoff_Breakeven!$B$8-Note_Payoff_Breakeven!$B$7)*Note_Payoff_Breakeven!$B$9*Note_Payoff_Breakeven!$B$10)</f>
        <v>6097781.82539262</v>
      </c>
      <c r="F40" s="52" t="n">
        <f aca="false">MAX(0,E40+E40*Note_Payoff_Breakeven!$B$6-MAX(0,B40*POWER(1+Note_Payoff_Breakeven!$B$11,3)*Note_Payoff_Breakeven!$B$8-Note_Payoff_Breakeven!$B$7)*Note_Payoff_Breakeven!$B$9*Note_Payoff_Breakeven!$B$10)</f>
        <v>5670876.93581168</v>
      </c>
      <c r="G40" s="52" t="n">
        <f aca="false">MAX(0,F40+F40*Note_Payoff_Breakeven!$B$6-MAX(0,B40*POWER(1+Note_Payoff_Breakeven!$B$11,4)*Note_Payoff_Breakeven!$B$8-Note_Payoff_Breakeven!$B$7)*Note_Payoff_Breakeven!$B$9*Note_Payoff_Breakeven!$B$10)</f>
        <v>5224334.42131002</v>
      </c>
      <c r="H40" s="52" t="n">
        <f aca="false">MAX(0,G40+G40*Note_Payoff_Breakeven!$B$6-MAX(0,B40*POWER(1+Note_Payoff_Breakeven!$B$11,5)*Note_Payoff_Breakeven!$B$8-Note_Payoff_Breakeven!$B$7)*Note_Payoff_Breakeven!$B$9*Note_Payoff_Breakeven!$B$10)</f>
        <v>4757250.95114128</v>
      </c>
      <c r="I40" s="52" t="n">
        <f aca="false">MAX(0,H40+H40*Note_Payoff_Breakeven!$B$6-MAX(0,B40*POWER(1+Note_Payoff_Breakeven!$B$11,6)*Note_Payoff_Breakeven!$B$8-Note_Payoff_Breakeven!$B$7)*Note_Payoff_Breakeven!$B$9*Note_Payoff_Breakeven!$B$10)</f>
        <v>4268681.64134477</v>
      </c>
      <c r="J40" s="52" t="n">
        <f aca="false">MAX(0,I40+I40*Note_Payoff_Breakeven!$B$6-MAX(0,B40*POWER(1+Note_Payoff_Breakeven!$B$11,7)*Note_Payoff_Breakeven!$B$8-Note_Payoff_Breakeven!$B$7)*Note_Payoff_Breakeven!$B$9*Note_Payoff_Breakeven!$B$10)</f>
        <v>3757638.14329763</v>
      </c>
      <c r="K40" s="52" t="n">
        <f aca="false">MAX(0,J40+J40*Note_Payoff_Breakeven!$B$6-MAX(0,B40*POWER(1+Note_Payoff_Breakeven!$B$11,8)*Note_Payoff_Breakeven!$B$8-Note_Payoff_Breakeven!$B$7)*Note_Payoff_Breakeven!$B$9*Note_Payoff_Breakeven!$B$10)</f>
        <v>3223086.64434033</v>
      </c>
      <c r="L40" s="52" t="n">
        <f aca="false">MAX(0,K40+K40*Note_Payoff_Breakeven!$B$6-MAX(0,B40*POWER(1+Note_Payoff_Breakeven!$B$11,9)*Note_Payoff_Breakeven!$B$8-Note_Payoff_Breakeven!$B$7)*Note_Payoff_Breakeven!$B$9*Note_Payoff_Breakeven!$B$10)</f>
        <v>2663945.77643098</v>
      </c>
      <c r="M40" s="52" t="n">
        <f aca="false">MAX(0,L40+L40*Note_Payoff_Breakeven!$B$6-MAX(0,B40*POWER(1+Note_Payoff_Breakeven!$B$11,10)*Note_Payoff_Breakeven!$B$8-Note_Payoff_Breakeven!$B$7)*Note_Payoff_Breakeven!$B$9*Note_Payoff_Breakeven!$B$10)</f>
        <v>2079084.42859781</v>
      </c>
      <c r="N40" s="52" t="n">
        <f aca="false">MAX(0,M40+M40*Note_Payoff_Breakeven!$B$6-MAX(0,B40*POWER(1+Note_Payoff_Breakeven!$B$11,11)*Note_Payoff_Breakeven!$B$8-Note_Payoff_Breakeven!$B$7)*Note_Payoff_Breakeven!$B$9*Note_Payoff_Breakeven!$B$10)</f>
        <v>1467319.4587643</v>
      </c>
      <c r="O40" s="52" t="n">
        <f aca="false">MAX(0,N40+N40*Note_Payoff_Breakeven!$B$6-MAX(0,B40*POWER(1+Note_Payoff_Breakeven!$B$11,12)*Note_Payoff_Breakeven!$B$8-Note_Payoff_Breakeven!$B$7)*Note_Payoff_Breakeven!$B$9*Note_Payoff_Breakeven!$B$10)</f>
        <v>827413.300318463</v>
      </c>
      <c r="P40" s="52" t="n">
        <f aca="false">MAX(0,O40+O40*Note_Payoff_Breakeven!$B$6-MAX(0,B40*POWER(1+Note_Payoff_Breakeven!$B$11,13)*Note_Payoff_Breakeven!$B$8-Note_Payoff_Breakeven!$B$7)*Note_Payoff_Breakeven!$B$9*Note_Payoff_Breakeven!$B$10)</f>
        <v>158071.458584112</v>
      </c>
      <c r="Q40" s="52" t="n">
        <f aca="false">MAX(0,P40+P40*Note_Payoff_Breakeven!$B$6-MAX(0,B40*POWER(1+Note_Payoff_Breakeven!$B$11,14)*Note_Payoff_Breakeven!$B$8-Note_Payoff_Breakeven!$B$7)*Note_Payoff_Breakeven!$B$9*Note_Payoff_Breakeven!$B$10)</f>
        <v>0</v>
      </c>
      <c r="R40" s="52" t="n">
        <f aca="false">MAX(0,Q40+Q40*Note_Payoff_Breakeven!$B$6-MAX(0,B40*POWER(1+Note_Payoff_Breakeven!$B$11,15)*Note_Payoff_Breakeven!$B$8-Note_Payoff_Breakeven!$B$7)*Note_Payoff_Breakeven!$B$9*Note_Payoff_Breakeven!$B$10)</f>
        <v>0</v>
      </c>
      <c r="S40" s="52" t="n">
        <f aca="false">MAX(0,R40+R40*Note_Payoff_Breakeven!$B$6-MAX(0,B40*POWER(1+Note_Payoff_Breakeven!$B$11,16)*Note_Payoff_Breakeven!$B$8-Note_Payoff_Breakeven!$B$7)*Note_Payoff_Breakeven!$B$9*Note_Payoff_Breakeven!$B$10)</f>
        <v>0</v>
      </c>
      <c r="T40" s="52" t="n">
        <f aca="false">MAX(0,S40+S40*Note_Payoff_Breakeven!$B$6-MAX(0,B40*POWER(1+Note_Payoff_Breakeven!$B$11,17)*Note_Payoff_Breakeven!$B$8-Note_Payoff_Breakeven!$B$7)*Note_Payoff_Breakeven!$B$9*Note_Payoff_Breakeven!$B$10)</f>
        <v>0</v>
      </c>
      <c r="U40" s="52" t="n">
        <f aca="false">MAX(0,T40+T40*Note_Payoff_Breakeven!$B$6-MAX(0,B40*POWER(1+Note_Payoff_Breakeven!$B$11,18)*Note_Payoff_Breakeven!$B$8-Note_Payoff_Breakeven!$B$7)*Note_Payoff_Breakeven!$B$9*Note_Payoff_Breakeven!$B$10)</f>
        <v>0</v>
      </c>
      <c r="V40" s="52" t="n">
        <f aca="false">MAX(0,U40+U40*Note_Payoff_Breakeven!$B$6-MAX(0,B40*POWER(1+Note_Payoff_Breakeven!$B$11,19)*Note_Payoff_Breakeven!$B$8-Note_Payoff_Breakeven!$B$7)*Note_Payoff_Breakeven!$B$9*Note_Payoff_Breakeven!$B$10)</f>
        <v>0</v>
      </c>
    </row>
    <row r="41" customFormat="false" ht="15" hidden="false" customHeight="true" outlineLevel="0" collapsed="false">
      <c r="A41" s="93" t="str">
        <f aca="false">A27</f>
        <v>Mid Appeal target</v>
      </c>
      <c r="B41" s="24" t="n">
        <f aca="false">B27</f>
        <v>50000000</v>
      </c>
      <c r="C41" s="52" t="n">
        <f aca="false">MAX(0,Note_Payoff_Breakeven!$B$5+Note_Payoff_Breakeven!$B$5*Note_Payoff_Breakeven!$B$6-MAX(0,B41*POWER(1+Note_Payoff_Breakeven!$B$11,0)*Note_Payoff_Breakeven!$B$8-Note_Payoff_Breakeven!$B$7)*Note_Payoff_Breakeven!$B$9*Note_Payoff_Breakeven!$B$10)</f>
        <v>6927037.144346</v>
      </c>
      <c r="D41" s="52" t="n">
        <f aca="false">MAX(0,C41+C41*Note_Payoff_Breakeven!$B$6-MAX(0,B41*POWER(1+Note_Payoff_Breakeven!$B$11,1)*Note_Payoff_Breakeven!$B$8-Note_Payoff_Breakeven!$B$7)*Note_Payoff_Breakeven!$B$9*Note_Payoff_Breakeven!$B$10)</f>
        <v>6569219.97311192</v>
      </c>
      <c r="E41" s="52" t="n">
        <f aca="false">MAX(0,D41+D41*Note_Payoff_Breakeven!$B$6-MAX(0,B41*POWER(1+Note_Payoff_Breakeven!$B$11,2)*Note_Payoff_Breakeven!$B$8-Note_Payoff_Breakeven!$B$7)*Note_Payoff_Breakeven!$B$9*Note_Payoff_Breakeven!$B$10)</f>
        <v>6194943.21200106</v>
      </c>
      <c r="F41" s="52" t="n">
        <f aca="false">MAX(0,E41+E41*Note_Payoff_Breakeven!$B$6-MAX(0,B41*POWER(1+Note_Payoff_Breakeven!$B$11,3)*Note_Payoff_Breakeven!$B$8-Note_Payoff_Breakeven!$B$7)*Note_Payoff_Breakeven!$B$9*Note_Payoff_Breakeven!$B$10)</f>
        <v>5803449.71987911</v>
      </c>
      <c r="G41" s="52" t="n">
        <f aca="false">MAX(0,F41+F41*Note_Payoff_Breakeven!$B$6-MAX(0,B41*POWER(1+Note_Payoff_Breakeven!$B$11,4)*Note_Payoff_Breakeven!$B$8-Note_Payoff_Breakeven!$B$7)*Note_Payoff_Breakeven!$B$9*Note_Payoff_Breakeven!$B$10)</f>
        <v>5393947.52711955</v>
      </c>
      <c r="H41" s="52" t="n">
        <f aca="false">MAX(0,G41+G41*Note_Payoff_Breakeven!$B$6-MAX(0,B41*POWER(1+Note_Payoff_Breakeven!$B$11,5)*Note_Payoff_Breakeven!$B$8-Note_Payoff_Breakeven!$B$7)*Note_Payoff_Breakeven!$B$9*Note_Payoff_Breakeven!$B$10)</f>
        <v>4965608.23349305</v>
      </c>
      <c r="I41" s="52" t="n">
        <f aca="false">MAX(0,H41+H41*Note_Payoff_Breakeven!$B$6-MAX(0,B41*POWER(1+Note_Payoff_Breakeven!$B$11,6)*Note_Payoff_Breakeven!$B$8-Note_Payoff_Breakeven!$B$7)*Note_Payoff_Breakeven!$B$9*Note_Payoff_Breakeven!$B$10)</f>
        <v>4517565.33235973</v>
      </c>
      <c r="J41" s="52" t="n">
        <f aca="false">MAX(0,I41+I41*Note_Payoff_Breakeven!$B$6-MAX(0,B41*POWER(1+Note_Payoff_Breakeven!$B$11,7)*Note_Payoff_Breakeven!$B$8-Note_Payoff_Breakeven!$B$7)*Note_Payoff_Breakeven!$B$9*Note_Payoff_Breakeven!$B$10)</f>
        <v>4048912.45777428</v>
      </c>
      <c r="K41" s="52" t="n">
        <f aca="false">MAX(0,J41+J41*Note_Payoff_Breakeven!$B$6-MAX(0,B41*POWER(1+Note_Payoff_Breakeven!$B$11,8)*Note_Payoff_Breakeven!$B$8-Note_Payoff_Breakeven!$B$7)*Note_Payoff_Breakeven!$B$9*Note_Payoff_Breakeven!$B$10)</f>
        <v>3558701.55095789</v>
      </c>
      <c r="L41" s="52" t="n">
        <f aca="false">MAX(0,K41+K41*Note_Payoff_Breakeven!$B$6-MAX(0,B41*POWER(1+Note_Payoff_Breakeven!$B$11,9)*Note_Payoff_Breakeven!$B$8-Note_Payoff_Breakeven!$B$7)*Note_Payoff_Breakeven!$B$9*Note_Payoff_Breakeven!$B$10)</f>
        <v>3045940.94242796</v>
      </c>
      <c r="M41" s="52" t="n">
        <f aca="false">MAX(0,L41+L41*Note_Payoff_Breakeven!$B$6-MAX(0,B41*POWER(1+Note_Payoff_Breakeven!$B$11,10)*Note_Payoff_Breakeven!$B$8-Note_Payoff_Breakeven!$B$7)*Note_Payoff_Breakeven!$B$9*Note_Payoff_Breakeven!$B$10)</f>
        <v>2509593.34590564</v>
      </c>
      <c r="N41" s="52" t="n">
        <f aca="false">MAX(0,M41+M41*Note_Payoff_Breakeven!$B$6-MAX(0,B41*POWER(1+Note_Payoff_Breakeven!$B$11,11)*Note_Payoff_Breakeven!$B$8-Note_Payoff_Breakeven!$B$7)*Note_Payoff_Breakeven!$B$9*Note_Payoff_Breakeven!$B$10)</f>
        <v>1948573.7599433</v>
      </c>
      <c r="O41" s="52" t="n">
        <f aca="false">MAX(0,N41+N41*Note_Payoff_Breakeven!$B$6-MAX(0,B41*POWER(1+Note_Payoff_Breakeven!$B$11,12)*Note_Payoff_Breakeven!$B$8-Note_Payoff_Breakeven!$B$7)*Note_Payoff_Breakeven!$B$9*Note_Payoff_Breakeven!$B$10)</f>
        <v>1361747.27302669</v>
      </c>
      <c r="P41" s="52" t="n">
        <f aca="false">MAX(0,O41+O41*Note_Payoff_Breakeven!$B$6-MAX(0,B41*POWER(1+Note_Payoff_Breakeven!$B$11,13)*Note_Payoff_Breakeven!$B$8-Note_Payoff_Breakeven!$B$7)*Note_Payoff_Breakeven!$B$9*Note_Payoff_Breakeven!$B$10)</f>
        <v>747926.767711922</v>
      </c>
      <c r="Q41" s="52" t="n">
        <f aca="false">MAX(0,P41+P41*Note_Payoff_Breakeven!$B$6-MAX(0,B41*POWER(1+Note_Payoff_Breakeven!$B$11,14)*Note_Payoff_Breakeven!$B$8-Note_Payoff_Breakeven!$B$7)*Note_Payoff_Breakeven!$B$9*Note_Payoff_Breakeven!$B$10)</f>
        <v>105870.519152671</v>
      </c>
      <c r="R41" s="52" t="n">
        <f aca="false">MAX(0,Q41+Q41*Note_Payoff_Breakeven!$B$6-MAX(0,B41*POWER(1+Note_Payoff_Breakeven!$B$11,15)*Note_Payoff_Breakeven!$B$8-Note_Payoff_Breakeven!$B$7)*Note_Payoff_Breakeven!$B$9*Note_Payoff_Breakeven!$B$10)</f>
        <v>0</v>
      </c>
      <c r="S41" s="52" t="n">
        <f aca="false">MAX(0,R41+R41*Note_Payoff_Breakeven!$B$6-MAX(0,B41*POWER(1+Note_Payoff_Breakeven!$B$11,16)*Note_Payoff_Breakeven!$B$8-Note_Payoff_Breakeven!$B$7)*Note_Payoff_Breakeven!$B$9*Note_Payoff_Breakeven!$B$10)</f>
        <v>0</v>
      </c>
      <c r="T41" s="52" t="n">
        <f aca="false">MAX(0,S41+S41*Note_Payoff_Breakeven!$B$6-MAX(0,B41*POWER(1+Note_Payoff_Breakeven!$B$11,17)*Note_Payoff_Breakeven!$B$8-Note_Payoff_Breakeven!$B$7)*Note_Payoff_Breakeven!$B$9*Note_Payoff_Breakeven!$B$10)</f>
        <v>0</v>
      </c>
      <c r="U41" s="52" t="n">
        <f aca="false">MAX(0,T41+T41*Note_Payoff_Breakeven!$B$6-MAX(0,B41*POWER(1+Note_Payoff_Breakeven!$B$11,18)*Note_Payoff_Breakeven!$B$8-Note_Payoff_Breakeven!$B$7)*Note_Payoff_Breakeven!$B$9*Note_Payoff_Breakeven!$B$10)</f>
        <v>0</v>
      </c>
      <c r="V41" s="52" t="n">
        <f aca="false">MAX(0,U41+U41*Note_Payoff_Breakeven!$B$6-MAX(0,B41*POWER(1+Note_Payoff_Breakeven!$B$11,19)*Note_Payoff_Breakeven!$B$8-Note_Payoff_Breakeven!$B$7)*Note_Payoff_Breakeven!$B$9*Note_Payoff_Breakeven!$B$10)</f>
        <v>0</v>
      </c>
    </row>
    <row r="42" customFormat="false" ht="15" hidden="false" customHeight="true" outlineLevel="0" collapsed="false">
      <c r="A42" s="93" t="str">
        <f aca="false">A28</f>
        <v>Aggressive Appeal</v>
      </c>
      <c r="B42" s="24" t="n">
        <f aca="false">B28</f>
        <v>47500000</v>
      </c>
      <c r="C42" s="52" t="n">
        <f aca="false">MAX(0,Note_Payoff_Breakeven!$B$5+Note_Payoff_Breakeven!$B$5*Note_Payoff_Breakeven!$B$6-MAX(0,B42*POWER(1+Note_Payoff_Breakeven!$B$11,0)*Note_Payoff_Breakeven!$B$8-Note_Payoff_Breakeven!$B$7)*Note_Payoff_Breakeven!$B$9*Note_Payoff_Breakeven!$B$10)</f>
        <v>6962999.456846</v>
      </c>
      <c r="D42" s="52" t="n">
        <f aca="false">MAX(0,C42+C42*Note_Payoff_Breakeven!$B$6-MAX(0,B42*POWER(1+Note_Payoff_Breakeven!$B$11,1)*Note_Payoff_Breakeven!$B$8-Note_Payoff_Breakeven!$B$7)*Note_Payoff_Breakeven!$B$9*Note_Payoff_Breakeven!$B$10)</f>
        <v>6642798.86448692</v>
      </c>
      <c r="E42" s="52" t="n">
        <f aca="false">MAX(0,D42+D42*Note_Payoff_Breakeven!$B$6-MAX(0,B42*POWER(1+Note_Payoff_Breakeven!$B$11,2)*Note_Payoff_Breakeven!$B$8-Note_Payoff_Breakeven!$B$7)*Note_Payoff_Breakeven!$B$9*Note_Payoff_Breakeven!$B$10)</f>
        <v>6307869.04487931</v>
      </c>
      <c r="F42" s="52" t="n">
        <f aca="false">MAX(0,E42+E42*Note_Payoff_Breakeven!$B$6-MAX(0,B42*POWER(1+Note_Payoff_Breakeven!$B$11,3)*Note_Payoff_Breakeven!$B$8-Note_Payoff_Breakeven!$B$7)*Note_Payoff_Breakeven!$B$9*Note_Payoff_Breakeven!$B$10)</f>
        <v>5957532.45356976</v>
      </c>
      <c r="G42" s="52" t="n">
        <f aca="false">MAX(0,F42+F42*Note_Payoff_Breakeven!$B$6-MAX(0,B42*POWER(1+Note_Payoff_Breakeven!$B$11,4)*Note_Payoff_Breakeven!$B$8-Note_Payoff_Breakeven!$B$7)*Note_Payoff_Breakeven!$B$9*Note_Payoff_Breakeven!$B$10)</f>
        <v>5591080.37905997</v>
      </c>
      <c r="H42" s="52" t="n">
        <f aca="false">MAX(0,G42+G42*Note_Payoff_Breakeven!$B$6-MAX(0,B42*POWER(1+Note_Payoff_Breakeven!$B$11,5)*Note_Payoff_Breakeven!$B$8-Note_Payoff_Breakeven!$B$7)*Note_Payoff_Breakeven!$B$9*Note_Payoff_Breakeven!$B$10)</f>
        <v>5207771.50912273</v>
      </c>
      <c r="I42" s="52" t="n">
        <f aca="false">MAX(0,H42+H42*Note_Payoff_Breakeven!$B$6-MAX(0,B42*POWER(1+Note_Payoff_Breakeven!$B$11,6)*Note_Payoff_Breakeven!$B$8-Note_Payoff_Breakeven!$B$7)*Note_Payoff_Breakeven!$B$9*Note_Payoff_Breakeven!$B$10)</f>
        <v>4806830.43116837</v>
      </c>
      <c r="J42" s="52" t="n">
        <f aca="false">MAX(0,I42+I42*Note_Payoff_Breakeven!$B$6-MAX(0,B42*POWER(1+Note_Payoff_Breakeven!$B$11,7)*Note_Payoff_Breakeven!$B$8-Note_Payoff_Breakeven!$B$7)*Note_Payoff_Breakeven!$B$9*Note_Payoff_Breakeven!$B$10)</f>
        <v>4387446.06362812</v>
      </c>
      <c r="K42" s="52" t="n">
        <f aca="false">MAX(0,J42+J42*Note_Payoff_Breakeven!$B$6-MAX(0,B42*POWER(1+Note_Payoff_Breakeven!$B$11,8)*Note_Payoff_Breakeven!$B$8-Note_Payoff_Breakeven!$B$7)*Note_Payoff_Breakeven!$B$9*Note_Payoff_Breakeven!$B$10)</f>
        <v>3948770.01518101</v>
      </c>
      <c r="L42" s="52" t="n">
        <f aca="false">MAX(0,K42+K42*Note_Payoff_Breakeven!$B$6-MAX(0,B42*POWER(1+Note_Payoff_Breakeven!$B$11,9)*Note_Payoff_Breakeven!$B$8-Note_Payoff_Breakeven!$B$7)*Note_Payoff_Breakeven!$B$9*Note_Payoff_Breakeven!$B$10)</f>
        <v>3489914.86850534</v>
      </c>
      <c r="M42" s="52" t="n">
        <f aca="false">MAX(0,L42+L42*Note_Payoff_Breakeven!$B$6-MAX(0,B42*POWER(1+Note_Payoff_Breakeven!$B$11,10)*Note_Payoff_Breakeven!$B$8-Note_Payoff_Breakeven!$B$7)*Note_Payoff_Breakeven!$B$9*Note_Payoff_Breakeven!$B$10)</f>
        <v>3009952.38508258</v>
      </c>
      <c r="N42" s="52" t="n">
        <f aca="false">MAX(0,M42+M42*Note_Payoff_Breakeven!$B$6-MAX(0,B42*POWER(1+Note_Payoff_Breakeven!$B$11,11)*Note_Payoff_Breakeven!$B$8-Note_Payoff_Breakeven!$B$7)*Note_Payoff_Breakeven!$B$9*Note_Payoff_Breakeven!$B$10)</f>
        <v>2507911.62742238</v>
      </c>
      <c r="O42" s="52" t="n">
        <f aca="false">MAX(0,N42+N42*Note_Payoff_Breakeven!$B$6-MAX(0,B42*POWER(1+Note_Payoff_Breakeven!$B$11,12)*Note_Payoff_Breakeven!$B$8-Note_Payoff_Breakeven!$B$7)*Note_Payoff_Breakeven!$B$9*Note_Payoff_Breakeven!$B$10)</f>
        <v>1982776.99490981</v>
      </c>
      <c r="P42" s="52" t="n">
        <f aca="false">MAX(0,O42+O42*Note_Payoff_Breakeven!$B$6-MAX(0,B42*POWER(1+Note_Payoff_Breakeven!$B$11,13)*Note_Payoff_Breakeven!$B$8-Note_Payoff_Breakeven!$B$7)*Note_Payoff_Breakeven!$B$9*Note_Payoff_Breakeven!$B$10)</f>
        <v>1433486.16930166</v>
      </c>
      <c r="Q42" s="52" t="n">
        <f aca="false">MAX(0,P42+P42*Note_Payoff_Breakeven!$B$6-MAX(0,B42*POWER(1+Note_Payoff_Breakeven!$B$11,14)*Note_Payoff_Breakeven!$B$8-Note_Payoff_Breakeven!$B$7)*Note_Payoff_Breakeven!$B$9*Note_Payoff_Breakeven!$B$10)</f>
        <v>858927.96571554</v>
      </c>
      <c r="R42" s="52" t="n">
        <f aca="false">MAX(0,Q42+Q42*Note_Payoff_Breakeven!$B$6-MAX(0,B42*POWER(1+Note_Payoff_Breakeven!$B$11,15)*Note_Payoff_Breakeven!$B$8-Note_Payoff_Breakeven!$B$7)*Note_Payoff_Breakeven!$B$9*Note_Payoff_Breakeven!$B$10)</f>
        <v>257940.084764455</v>
      </c>
      <c r="S42" s="52" t="n">
        <f aca="false">MAX(0,R42+R42*Note_Payoff_Breakeven!$B$6-MAX(0,B42*POWER(1+Note_Payoff_Breakeven!$B$11,16)*Note_Payoff_Breakeven!$B$8-Note_Payoff_Breakeven!$B$7)*Note_Payoff_Breakeven!$B$9*Note_Payoff_Breakeven!$B$10)</f>
        <v>0</v>
      </c>
      <c r="T42" s="52" t="n">
        <f aca="false">MAX(0,S42+S42*Note_Payoff_Breakeven!$B$6-MAX(0,B42*POWER(1+Note_Payoff_Breakeven!$B$11,17)*Note_Payoff_Breakeven!$B$8-Note_Payoff_Breakeven!$B$7)*Note_Payoff_Breakeven!$B$9*Note_Payoff_Breakeven!$B$10)</f>
        <v>0</v>
      </c>
      <c r="U42" s="52" t="n">
        <f aca="false">MAX(0,T42+T42*Note_Payoff_Breakeven!$B$6-MAX(0,B42*POWER(1+Note_Payoff_Breakeven!$B$11,18)*Note_Payoff_Breakeven!$B$8-Note_Payoff_Breakeven!$B$7)*Note_Payoff_Breakeven!$B$9*Note_Payoff_Breakeven!$B$10)</f>
        <v>0</v>
      </c>
      <c r="V42" s="52" t="n">
        <f aca="false">MAX(0,U42+U42*Note_Payoff_Breakeven!$B$6-MAX(0,B42*POWER(1+Note_Payoff_Breakeven!$B$11,19)*Note_Payoff_Breakeven!$B$8-Note_Payoff_Breakeven!$B$7)*Note_Payoff_Breakeven!$B$9*Note_Payoff_Breakeven!$B$10)</f>
        <v>0</v>
      </c>
    </row>
    <row r="43" customFormat="false" ht="15" hidden="false" customHeight="true" outlineLevel="0" collapsed="false">
      <c r="A43" s="93" t="str">
        <f aca="false">A29</f>
        <v>Deep Appeal</v>
      </c>
      <c r="B43" s="24" t="n">
        <f aca="false">B29</f>
        <v>45000000</v>
      </c>
      <c r="C43" s="52" t="n">
        <f aca="false">MAX(0,Note_Payoff_Breakeven!$B$5+Note_Payoff_Breakeven!$B$5*Note_Payoff_Breakeven!$B$6-MAX(0,B43*POWER(1+Note_Payoff_Breakeven!$B$11,0)*Note_Payoff_Breakeven!$B$8-Note_Payoff_Breakeven!$B$7)*Note_Payoff_Breakeven!$B$9*Note_Payoff_Breakeven!$B$10)</f>
        <v>6998961.769346</v>
      </c>
      <c r="D43" s="52" t="n">
        <f aca="false">MAX(0,C43+C43*Note_Payoff_Breakeven!$B$6-MAX(0,B43*POWER(1+Note_Payoff_Breakeven!$B$11,1)*Note_Payoff_Breakeven!$B$8-Note_Payoff_Breakeven!$B$7)*Note_Payoff_Breakeven!$B$9*Note_Payoff_Breakeven!$B$10)</f>
        <v>6716377.75586192</v>
      </c>
      <c r="E43" s="52" t="n">
        <f aca="false">MAX(0,D43+D43*Note_Payoff_Breakeven!$B$6-MAX(0,B43*POWER(1+Note_Payoff_Breakeven!$B$11,2)*Note_Payoff_Breakeven!$B$8-Note_Payoff_Breakeven!$B$7)*Note_Payoff_Breakeven!$B$9*Note_Payoff_Breakeven!$B$10)</f>
        <v>6420794.87775756</v>
      </c>
      <c r="F43" s="52" t="n">
        <f aca="false">MAX(0,E43+E43*Note_Payoff_Breakeven!$B$6-MAX(0,B43*POWER(1+Note_Payoff_Breakeven!$B$11,3)*Note_Payoff_Breakeven!$B$8-Note_Payoff_Breakeven!$B$7)*Note_Payoff_Breakeven!$B$9*Note_Payoff_Breakeven!$B$10)</f>
        <v>6111615.18726041</v>
      </c>
      <c r="G43" s="52" t="n">
        <f aca="false">MAX(0,F43+F43*Note_Payoff_Breakeven!$B$6-MAX(0,B43*POWER(1+Note_Payoff_Breakeven!$B$11,4)*Note_Payoff_Breakeven!$B$8-Note_Payoff_Breakeven!$B$7)*Note_Payoff_Breakeven!$B$9*Note_Payoff_Breakeven!$B$10)</f>
        <v>5788213.23100039</v>
      </c>
      <c r="H43" s="52" t="n">
        <f aca="false">MAX(0,G43+G43*Note_Payoff_Breakeven!$B$6-MAX(0,B43*POWER(1+Note_Payoff_Breakeven!$B$11,5)*Note_Payoff_Breakeven!$B$8-Note_Payoff_Breakeven!$B$7)*Note_Payoff_Breakeven!$B$9*Note_Payoff_Breakeven!$B$10)</f>
        <v>5449934.78475241</v>
      </c>
      <c r="I43" s="52" t="n">
        <f aca="false">MAX(0,H43+H43*Note_Payoff_Breakeven!$B$6-MAX(0,B43*POWER(1+Note_Payoff_Breakeven!$B$11,6)*Note_Payoff_Breakeven!$B$8-Note_Payoff_Breakeven!$B$7)*Note_Payoff_Breakeven!$B$9*Note_Payoff_Breakeven!$B$10)</f>
        <v>5096095.52997702</v>
      </c>
      <c r="J43" s="52" t="n">
        <f aca="false">MAX(0,I43+I43*Note_Payoff_Breakeven!$B$6-MAX(0,B43*POWER(1+Note_Payoff_Breakeven!$B$11,7)*Note_Payoff_Breakeven!$B$8-Note_Payoff_Breakeven!$B$7)*Note_Payoff_Breakeven!$B$9*Note_Payoff_Breakeven!$B$10)</f>
        <v>4725979.66948196</v>
      </c>
      <c r="K43" s="52" t="n">
        <f aca="false">MAX(0,J43+J43*Note_Payoff_Breakeven!$B$6-MAX(0,B43*POWER(1+Note_Payoff_Breakeven!$B$11,8)*Note_Payoff_Breakeven!$B$8-Note_Payoff_Breakeven!$B$7)*Note_Payoff_Breakeven!$B$9*Note_Payoff_Breakeven!$B$10)</f>
        <v>4338838.47940413</v>
      </c>
      <c r="L43" s="52" t="n">
        <f aca="false">MAX(0,K43+K43*Note_Payoff_Breakeven!$B$6-MAX(0,B43*POWER(1+Note_Payoff_Breakeven!$B$11,9)*Note_Payoff_Breakeven!$B$8-Note_Payoff_Breakeven!$B$7)*Note_Payoff_Breakeven!$B$9*Note_Payoff_Breakeven!$B$10)</f>
        <v>3933888.79458272</v>
      </c>
      <c r="M43" s="52" t="n">
        <f aca="false">MAX(0,L43+L43*Note_Payoff_Breakeven!$B$6-MAX(0,B43*POWER(1+Note_Payoff_Breakeven!$B$11,10)*Note_Payoff_Breakeven!$B$8-Note_Payoff_Breakeven!$B$7)*Note_Payoff_Breakeven!$B$9*Note_Payoff_Breakeven!$B$10)</f>
        <v>3510311.42425952</v>
      </c>
      <c r="N43" s="52" t="n">
        <f aca="false">MAX(0,M43+M43*Note_Payoff_Breakeven!$B$6-MAX(0,B43*POWER(1+Note_Payoff_Breakeven!$B$11,11)*Note_Payoff_Breakeven!$B$8-Note_Payoff_Breakeven!$B$7)*Note_Payoff_Breakeven!$B$9*Note_Payoff_Breakeven!$B$10)</f>
        <v>3067249.49490146</v>
      </c>
      <c r="O43" s="52" t="n">
        <f aca="false">MAX(0,N43+N43*Note_Payoff_Breakeven!$B$6-MAX(0,B43*POWER(1+Note_Payoff_Breakeven!$B$11,12)*Note_Payoff_Breakeven!$B$8-Note_Payoff_Breakeven!$B$7)*Note_Payoff_Breakeven!$B$9*Note_Payoff_Breakeven!$B$10)</f>
        <v>2603806.71679293</v>
      </c>
      <c r="P43" s="52" t="n">
        <f aca="false">MAX(0,O43+O43*Note_Payoff_Breakeven!$B$6-MAX(0,B43*POWER(1+Note_Payoff_Breakeven!$B$11,13)*Note_Payoff_Breakeven!$B$8-Note_Payoff_Breakeven!$B$7)*Note_Payoff_Breakeven!$B$9*Note_Payoff_Breakeven!$B$10)</f>
        <v>2119045.5708914</v>
      </c>
      <c r="Q43" s="52" t="n">
        <f aca="false">MAX(0,P43+P43*Note_Payoff_Breakeven!$B$6-MAX(0,B43*POWER(1+Note_Payoff_Breakeven!$B$11,14)*Note_Payoff_Breakeven!$B$8-Note_Payoff_Breakeven!$B$7)*Note_Payoff_Breakeven!$B$9*Note_Payoff_Breakeven!$B$10)</f>
        <v>1611985.41227841</v>
      </c>
      <c r="R43" s="52" t="n">
        <f aca="false">MAX(0,Q43+Q43*Note_Payoff_Breakeven!$B$6-MAX(0,B43*POWER(1+Note_Payoff_Breakeven!$B$11,15)*Note_Payoff_Breakeven!$B$8-Note_Payoff_Breakeven!$B$7)*Note_Payoff_Breakeven!$B$9*Note_Payoff_Breakeven!$B$10)</f>
        <v>1081600.48636922</v>
      </c>
      <c r="S43" s="52" t="n">
        <f aca="false">MAX(0,R43+R43*Note_Payoff_Breakeven!$B$6-MAX(0,B43*POWER(1+Note_Payoff_Breakeven!$B$11,16)*Note_Payoff_Breakeven!$B$8-Note_Payoff_Breakeven!$B$7)*Note_Payoff_Breakeven!$B$9*Note_Payoff_Breakeven!$B$10)</f>
        <v>526817.8538682</v>
      </c>
      <c r="T43" s="52" t="n">
        <f aca="false">MAX(0,S43+S43*Note_Payoff_Breakeven!$B$6-MAX(0,B43*POWER(1+Note_Payoff_Breakeven!$B$11,17)*Note_Payoff_Breakeven!$B$8-Note_Payoff_Breakeven!$B$7)*Note_Payoff_Breakeven!$B$9*Note_Payoff_Breakeven!$B$10)</f>
        <v>0</v>
      </c>
      <c r="U43" s="52" t="n">
        <f aca="false">MAX(0,T43+T43*Note_Payoff_Breakeven!$B$6-MAX(0,B43*POWER(1+Note_Payoff_Breakeven!$B$11,18)*Note_Payoff_Breakeven!$B$8-Note_Payoff_Breakeven!$B$7)*Note_Payoff_Breakeven!$B$9*Note_Payoff_Breakeven!$B$10)</f>
        <v>0</v>
      </c>
      <c r="V43" s="52" t="n">
        <f aca="false">MAX(0,U43+U43*Note_Payoff_Breakeven!$B$6-MAX(0,B43*POWER(1+Note_Payoff_Breakeven!$B$11,19)*Note_Payoff_Breakeven!$B$8-Note_Payoff_Breakeven!$B$7)*Note_Payoff_Breakeven!$B$9*Note_Payoff_Breakeven!$B$10)</f>
        <v>0</v>
      </c>
    </row>
    <row r="44" customFormat="false" ht="15" hidden="false" customHeight="true" outlineLevel="0" collapsed="false">
      <c r="A44" s="93" t="str">
        <f aca="false">A30</f>
        <v>MAA Floor (contractual min)</v>
      </c>
      <c r="B44" s="24" t="n">
        <f aca="false">B30</f>
        <v>43835000</v>
      </c>
      <c r="C44" s="52" t="n">
        <f aca="false">MAX(0,Note_Payoff_Breakeven!$B$5+Note_Payoff_Breakeven!$B$5*Note_Payoff_Breakeven!$B$6-MAX(0,B44*POWER(1+Note_Payoff_Breakeven!$B$11,0)*Note_Payoff_Breakeven!$B$8-Note_Payoff_Breakeven!$B$7)*Note_Payoff_Breakeven!$B$9*Note_Payoff_Breakeven!$B$10)</f>
        <v>7015720.206971</v>
      </c>
      <c r="D44" s="52" t="n">
        <f aca="false">MAX(0,C44+C44*Note_Payoff_Breakeven!$B$6-MAX(0,B44*POWER(1+Note_Payoff_Breakeven!$B$11,1)*Note_Payoff_Breakeven!$B$8-Note_Payoff_Breakeven!$B$7)*Note_Payoff_Breakeven!$B$9*Note_Payoff_Breakeven!$B$10)</f>
        <v>6750665.51924267</v>
      </c>
      <c r="E44" s="52" t="n">
        <f aca="false">MAX(0,D44+D44*Note_Payoff_Breakeven!$B$6-MAX(0,B44*POWER(1+Note_Payoff_Breakeven!$B$11,2)*Note_Payoff_Breakeven!$B$8-Note_Payoff_Breakeven!$B$7)*Note_Payoff_Breakeven!$B$9*Note_Payoff_Breakeven!$B$10)</f>
        <v>6473418.31587883</v>
      </c>
      <c r="F44" s="52" t="n">
        <f aca="false">MAX(0,E44+E44*Note_Payoff_Breakeven!$B$6-MAX(0,B44*POWER(1+Note_Payoff_Breakeven!$B$11,3)*Note_Payoff_Breakeven!$B$8-Note_Payoff_Breakeven!$B$7)*Note_Payoff_Breakeven!$B$9*Note_Payoff_Breakeven!$B$10)</f>
        <v>6183417.74116025</v>
      </c>
      <c r="G44" s="52" t="n">
        <f aca="false">MAX(0,F44+F44*Note_Payoff_Breakeven!$B$6-MAX(0,B44*POWER(1+Note_Payoff_Breakeven!$B$11,4)*Note_Payoff_Breakeven!$B$8-Note_Payoff_Breakeven!$B$7)*Note_Payoff_Breakeven!$B$9*Note_Payoff_Breakeven!$B$10)</f>
        <v>5880077.14000463</v>
      </c>
      <c r="H44" s="52" t="n">
        <f aca="false">MAX(0,G44+G44*Note_Payoff_Breakeven!$B$6-MAX(0,B44*POWER(1+Note_Payoff_Breakeven!$B$11,5)*Note_Payoff_Breakeven!$B$8-Note_Payoff_Breakeven!$B$7)*Note_Payoff_Breakeven!$B$9*Note_Payoff_Breakeven!$B$10)</f>
        <v>5562782.87119584</v>
      </c>
      <c r="I44" s="52" t="n">
        <f aca="false">MAX(0,H44+H44*Note_Payoff_Breakeven!$B$6-MAX(0,B44*POWER(1+Note_Payoff_Breakeven!$B$11,6)*Note_Payoff_Breakeven!$B$8-Note_Payoff_Breakeven!$B$7)*Note_Payoff_Breakeven!$B$9*Note_Payoff_Breakeven!$B$10)</f>
        <v>5230893.06602185</v>
      </c>
      <c r="J44" s="52" t="n">
        <f aca="false">MAX(0,I44+I44*Note_Payoff_Breakeven!$B$6-MAX(0,B44*POWER(1+Note_Payoff_Breakeven!$B$11,7)*Note_Payoff_Breakeven!$B$8-Note_Payoff_Breakeven!$B$7)*Note_Payoff_Breakeven!$B$9*Note_Payoff_Breakeven!$B$10)</f>
        <v>4883736.32980985</v>
      </c>
      <c r="K44" s="52" t="n">
        <f aca="false">MAX(0,J44+J44*Note_Payoff_Breakeven!$B$6-MAX(0,B44*POWER(1+Note_Payoff_Breakeven!$B$11,8)*Note_Payoff_Breakeven!$B$8-Note_Payoff_Breakeven!$B$7)*Note_Payoff_Breakeven!$B$9*Note_Payoff_Breakeven!$B$10)</f>
        <v>4520610.38373211</v>
      </c>
      <c r="L44" s="52" t="n">
        <f aca="false">MAX(0,K44+K44*Note_Payoff_Breakeven!$B$6-MAX(0,B44*POWER(1+Note_Payoff_Breakeven!$B$11,9)*Note_Payoff_Breakeven!$B$8-Note_Payoff_Breakeven!$B$7)*Note_Payoff_Breakeven!$B$9*Note_Payoff_Breakeven!$B$10)</f>
        <v>4140780.64413478</v>
      </c>
      <c r="M44" s="52" t="n">
        <f aca="false">MAX(0,L44+L44*Note_Payoff_Breakeven!$B$6-MAX(0,B44*POWER(1+Note_Payoff_Breakeven!$B$11,10)*Note_Payoff_Breakeven!$B$8-Note_Payoff_Breakeven!$B$7)*Note_Payoff_Breakeven!$B$9*Note_Payoff_Breakeven!$B$10)</f>
        <v>3743478.73651598</v>
      </c>
      <c r="N44" s="52" t="n">
        <f aca="false">MAX(0,M44+M44*Note_Payoff_Breakeven!$B$6-MAX(0,B44*POWER(1+Note_Payoff_Breakeven!$B$11,11)*Note_Payoff_Breakeven!$B$8-Note_Payoff_Breakeven!$B$7)*Note_Payoff_Breakeven!$B$9*Note_Payoff_Breakeven!$B$10)</f>
        <v>3327900.94114672</v>
      </c>
      <c r="O44" s="52" t="n">
        <f aca="false">MAX(0,N44+N44*Note_Payoff_Breakeven!$B$6-MAX(0,B44*POWER(1+Note_Payoff_Breakeven!$B$11,12)*Note_Payoff_Breakeven!$B$8-Note_Payoff_Breakeven!$B$7)*Note_Payoff_Breakeven!$B$9*Note_Payoff_Breakeven!$B$10)</f>
        <v>2893206.56719047</v>
      </c>
      <c r="P44" s="52" t="n">
        <f aca="false">MAX(0,O44+O44*Note_Payoff_Breakeven!$B$6-MAX(0,B44*POWER(1+Note_Payoff_Breakeven!$B$11,13)*Note_Payoff_Breakeven!$B$8-Note_Payoff_Breakeven!$B$7)*Note_Payoff_Breakeven!$B$9*Note_Payoff_Breakeven!$B$10)</f>
        <v>2438516.25203223</v>
      </c>
      <c r="Q44" s="52" t="n">
        <f aca="false">MAX(0,P44+P44*Note_Payoff_Breakeven!$B$6-MAX(0,B44*POWER(1+Note_Payoff_Breakeven!$B$11,14)*Note_Payoff_Breakeven!$B$8-Note_Payoff_Breakeven!$B$7)*Note_Payoff_Breakeven!$B$9*Note_Payoff_Breakeven!$B$10)</f>
        <v>1962910.18237671</v>
      </c>
      <c r="R44" s="52" t="n">
        <f aca="false">MAX(0,Q44+Q44*Note_Payoff_Breakeven!$B$6-MAX(0,B44*POWER(1+Note_Payoff_Breakeven!$B$11,15)*Note_Payoff_Breakeven!$B$8-Note_Payoff_Breakeven!$B$7)*Note_Payoff_Breakeven!$B$9*Note_Payoff_Breakeven!$B$10)</f>
        <v>1465426.23351704</v>
      </c>
      <c r="S44" s="52" t="n">
        <f aca="false">MAX(0,R44+R44*Note_Payoff_Breakeven!$B$6-MAX(0,B44*POWER(1+Note_Payoff_Breakeven!$B$11,16)*Note_Payoff_Breakeven!$B$8-Note_Payoff_Breakeven!$B$7)*Note_Payoff_Breakeven!$B$9*Note_Payoff_Breakeven!$B$10)</f>
        <v>945058.023009821</v>
      </c>
      <c r="T44" s="52" t="n">
        <f aca="false">MAX(0,S44+S44*Note_Payoff_Breakeven!$B$6-MAX(0,B44*POWER(1+Note_Payoff_Breakeven!$B$11,17)*Note_Payoff_Breakeven!$B$8-Note_Payoff_Breakeven!$B$7)*Note_Payoff_Breakeven!$B$9*Note_Payoff_Breakeven!$B$10)</f>
        <v>400752.874819273</v>
      </c>
      <c r="U44" s="52" t="n">
        <f aca="false">MAX(0,T44+T44*Note_Payoff_Breakeven!$B$6-MAX(0,B44*POWER(1+Note_Payoff_Breakeven!$B$11,18)*Note_Payoff_Breakeven!$B$8-Note_Payoff_Breakeven!$B$7)*Note_Payoff_Breakeven!$B$9*Note_Payoff_Breakeven!$B$10)</f>
        <v>0</v>
      </c>
      <c r="V44" s="52" t="n">
        <f aca="false">MAX(0,U44+U44*Note_Payoff_Breakeven!$B$6-MAX(0,B44*POWER(1+Note_Payoff_Breakeven!$B$11,19)*Note_Payoff_Breakeven!$B$8-Note_Payoff_Breakeven!$B$7)*Note_Payoff_Breakeven!$B$9*Note_Payoff_Breakeven!$B$10)</f>
        <v>0</v>
      </c>
    </row>
    <row r="45" customFormat="false" ht="15" hidden="false" customHeight="true" outlineLevel="0" collapsed="false">
      <c r="A45" s="93" t="str">
        <f aca="false">A31</f>
        <v>1M below MAA (hypothetical)</v>
      </c>
      <c r="B45" s="24" t="n">
        <f aca="false">B31</f>
        <v>42835000</v>
      </c>
      <c r="C45" s="52" t="n">
        <f aca="false">MAX(0,Note_Payoff_Breakeven!$B$5+Note_Payoff_Breakeven!$B$5*Note_Payoff_Breakeven!$B$6-MAX(0,B45*POWER(1+Note_Payoff_Breakeven!$B$11,0)*Note_Payoff_Breakeven!$B$8-Note_Payoff_Breakeven!$B$7)*Note_Payoff_Breakeven!$B$9*Note_Payoff_Breakeven!$B$10)</f>
        <v>7030105.131971</v>
      </c>
      <c r="D45" s="52" t="n">
        <f aca="false">MAX(0,C45+C45*Note_Payoff_Breakeven!$B$6-MAX(0,B45*POWER(1+Note_Payoff_Breakeven!$B$11,1)*Note_Payoff_Breakeven!$B$8-Note_Payoff_Breakeven!$B$7)*Note_Payoff_Breakeven!$B$9*Note_Payoff_Breakeven!$B$10)</f>
        <v>6780097.07579267</v>
      </c>
      <c r="E45" s="52" t="n">
        <f aca="false">MAX(0,D45+D45*Note_Payoff_Breakeven!$B$6-MAX(0,B45*POWER(1+Note_Payoff_Breakeven!$B$11,2)*Note_Payoff_Breakeven!$B$8-Note_Payoff_Breakeven!$B$7)*Note_Payoff_Breakeven!$B$9*Note_Payoff_Breakeven!$B$10)</f>
        <v>6518588.64903013</v>
      </c>
      <c r="F45" s="52" t="n">
        <f aca="false">MAX(0,E45+E45*Note_Payoff_Breakeven!$B$6-MAX(0,B45*POWER(1+Note_Payoff_Breakeven!$B$11,3)*Note_Payoff_Breakeven!$B$8-Note_Payoff_Breakeven!$B$7)*Note_Payoff_Breakeven!$B$9*Note_Payoff_Breakeven!$B$10)</f>
        <v>6245050.83463651</v>
      </c>
      <c r="G45" s="52" t="n">
        <f aca="false">MAX(0,F45+F45*Note_Payoff_Breakeven!$B$6-MAX(0,B45*POWER(1+Note_Payoff_Breakeven!$B$11,4)*Note_Payoff_Breakeven!$B$8-Note_Payoff_Breakeven!$B$7)*Note_Payoff_Breakeven!$B$9*Note_Payoff_Breakeven!$B$10)</f>
        <v>5958930.28078079</v>
      </c>
      <c r="H45" s="52" t="n">
        <f aca="false">MAX(0,G45+G45*Note_Payoff_Breakeven!$B$6-MAX(0,B45*POWER(1+Note_Payoff_Breakeven!$B$11,5)*Note_Payoff_Breakeven!$B$8-Note_Payoff_Breakeven!$B$7)*Note_Payoff_Breakeven!$B$9*Note_Payoff_Breakeven!$B$10)</f>
        <v>5659648.18144771</v>
      </c>
      <c r="I45" s="52" t="n">
        <f aca="false">MAX(0,H45+H45*Note_Payoff_Breakeven!$B$6-MAX(0,B45*POWER(1+Note_Payoff_Breakeven!$B$11,6)*Note_Payoff_Breakeven!$B$8-Note_Payoff_Breakeven!$B$7)*Note_Payoff_Breakeven!$B$9*Note_Payoff_Breakeven!$B$10)</f>
        <v>5346599.1055453</v>
      </c>
      <c r="J45" s="52" t="n">
        <f aca="false">MAX(0,I45+I45*Note_Payoff_Breakeven!$B$6-MAX(0,B45*POWER(1+Note_Payoff_Breakeven!$B$11,7)*Note_Payoff_Breakeven!$B$8-Note_Payoff_Breakeven!$B$7)*Note_Payoff_Breakeven!$B$9*Note_Payoff_Breakeven!$B$10)</f>
        <v>5019149.77215139</v>
      </c>
      <c r="K45" s="52" t="n">
        <f aca="false">MAX(0,J45+J45*Note_Payoff_Breakeven!$B$6-MAX(0,B45*POWER(1+Note_Payoff_Breakeven!$B$11,8)*Note_Payoff_Breakeven!$B$8-Note_Payoff_Breakeven!$B$7)*Note_Payoff_Breakeven!$B$9*Note_Payoff_Breakeven!$B$10)</f>
        <v>4676637.76942135</v>
      </c>
      <c r="L45" s="52" t="n">
        <f aca="false">MAX(0,K45+K45*Note_Payoff_Breakeven!$B$6-MAX(0,B45*POWER(1+Note_Payoff_Breakeven!$B$11,9)*Note_Payoff_Breakeven!$B$8-Note_Payoff_Breakeven!$B$7)*Note_Payoff_Breakeven!$B$9*Note_Payoff_Breakeven!$B$10)</f>
        <v>4318370.21456573</v>
      </c>
      <c r="M45" s="52" t="n">
        <f aca="false">MAX(0,L45+L45*Note_Payoff_Breakeven!$B$6-MAX(0,B45*POWER(1+Note_Payoff_Breakeven!$B$11,10)*Note_Payoff_Breakeven!$B$8-Note_Payoff_Breakeven!$B$7)*Note_Payoff_Breakeven!$B$9*Note_Payoff_Breakeven!$B$10)</f>
        <v>3943622.35218675</v>
      </c>
      <c r="N45" s="52" t="n">
        <f aca="false">MAX(0,M45+M45*Note_Payoff_Breakeven!$B$6-MAX(0,B45*POWER(1+Note_Payoff_Breakeven!$B$11,11)*Note_Payoff_Breakeven!$B$8-Note_Payoff_Breakeven!$B$7)*Note_Payoff_Breakeven!$B$9*Note_Payoff_Breakeven!$B$10)</f>
        <v>3551636.08813834</v>
      </c>
      <c r="O45" s="52" t="n">
        <f aca="false">MAX(0,N45+N45*Note_Payoff_Breakeven!$B$6-MAX(0,B45*POWER(1+Note_Payoff_Breakeven!$B$11,12)*Note_Payoff_Breakeven!$B$8-Note_Payoff_Breakeven!$B$7)*Note_Payoff_Breakeven!$B$9*Note_Payoff_Breakeven!$B$10)</f>
        <v>3141618.45594371</v>
      </c>
      <c r="P45" s="52" t="n">
        <f aca="false">MAX(0,O45+O45*Note_Payoff_Breakeven!$B$6-MAX(0,B45*POWER(1+Note_Payoff_Breakeven!$B$11,13)*Note_Payoff_Breakeven!$B$8-Note_Payoff_Breakeven!$B$7)*Note_Payoff_Breakeven!$B$9*Note_Payoff_Breakeven!$B$10)</f>
        <v>2712740.01266812</v>
      </c>
      <c r="Q45" s="52" t="n">
        <f aca="false">MAX(0,P45+P45*Note_Payoff_Breakeven!$B$6-MAX(0,B45*POWER(1+Note_Payoff_Breakeven!$B$11,14)*Note_Payoff_Breakeven!$B$8-Note_Payoff_Breakeven!$B$7)*Note_Payoff_Breakeven!$B$9*Note_Payoff_Breakeven!$B$10)</f>
        <v>2264133.16100185</v>
      </c>
      <c r="R45" s="52" t="n">
        <f aca="false">MAX(0,Q45+Q45*Note_Payoff_Breakeven!$B$6-MAX(0,B45*POWER(1+Note_Payoff_Breakeven!$B$11,15)*Note_Payoff_Breakeven!$B$8-Note_Payoff_Breakeven!$B$7)*Note_Payoff_Breakeven!$B$9*Note_Payoff_Breakeven!$B$10)</f>
        <v>1794890.39415894</v>
      </c>
      <c r="S45" s="52" t="n">
        <f aca="false">MAX(0,R45+R45*Note_Payoff_Breakeven!$B$6-MAX(0,B45*POWER(1+Note_Payoff_Breakeven!$B$11,16)*Note_Payoff_Breakeven!$B$8-Note_Payoff_Breakeven!$B$7)*Note_Payoff_Breakeven!$B$9*Note_Payoff_Breakeven!$B$10)</f>
        <v>1304062.46004125</v>
      </c>
      <c r="T45" s="52" t="n">
        <f aca="false">MAX(0,S45+S45*Note_Payoff_Breakeven!$B$6-MAX(0,B45*POWER(1+Note_Payoff_Breakeven!$B$11,17)*Note_Payoff_Breakeven!$B$8-Note_Payoff_Breakeven!$B$7)*Note_Payoff_Breakeven!$B$9*Note_Payoff_Breakeven!$B$10)</f>
        <v>790656.440954145</v>
      </c>
      <c r="U45" s="52" t="n">
        <f aca="false">MAX(0,T45+T45*Note_Payoff_Breakeven!$B$6-MAX(0,B45*POWER(1+Note_Payoff_Breakeven!$B$11,18)*Note_Payoff_Breakeven!$B$8-Note_Payoff_Breakeven!$B$7)*Note_Payoff_Breakeven!$B$9*Note_Payoff_Breakeven!$B$10)</f>
        <v>253633.744989036</v>
      </c>
      <c r="V45" s="52" t="n">
        <f aca="false">MAX(0,U45+U45*Note_Payoff_Breakeven!$B$6-MAX(0,B45*POWER(1+Note_Payoff_Breakeven!$B$11,19)*Note_Payoff_Breakeven!$B$8-Note_Payoff_Breakeven!$B$7)*Note_Payoff_Breakeven!$B$9*Note_Payoff_Breakeven!$B$10)</f>
        <v>0</v>
      </c>
    </row>
    <row r="46" customFormat="false" ht="15" hidden="false" customHeight="true" outlineLevel="0" collapsed="false">
      <c r="A46" s="93" t="str">
        <f aca="false">A32</f>
        <v>BREAKEVEN (calculated)</v>
      </c>
      <c r="B46" s="24" t="n">
        <f aca="false">B32</f>
        <v>42159406.0134347</v>
      </c>
      <c r="C46" s="52" t="n">
        <f aca="false">MAX(0,Note_Payoff_Breakeven!$B$5+Note_Payoff_Breakeven!$B$5*Note_Payoff_Breakeven!$B$6-MAX(0,B46*POWER(1+Note_Payoff_Breakeven!$B$11,0)*Note_Payoff_Breakeven!$B$8-Note_Payoff_Breakeven!$B$7)*Note_Payoff_Breakeven!$B$9*Note_Payoff_Breakeven!$B$10)</f>
        <v>7039823.50079819</v>
      </c>
      <c r="D46" s="52" t="n">
        <f aca="false">MAX(0,C46+C46*Note_Payoff_Breakeven!$B$6-MAX(0,B46*POWER(1+Note_Payoff_Breakeven!$B$11,1)*Note_Payoff_Breakeven!$B$8-Note_Payoff_Breakeven!$B$7)*Note_Payoff_Breakeven!$B$9*Note_Payoff_Breakeven!$B$10)</f>
        <v>6799980.8584131</v>
      </c>
      <c r="E46" s="52" t="n">
        <f aca="false">MAX(0,D46+D46*Note_Payoff_Breakeven!$B$6-MAX(0,B46*POWER(1+Note_Payoff_Breakeven!$B$11,2)*Note_Payoff_Breakeven!$B$8-Note_Payoff_Breakeven!$B$7)*Note_Payoff_Breakeven!$B$9*Note_Payoff_Breakeven!$B$10)</f>
        <v>6549105.4544783</v>
      </c>
      <c r="F46" s="52" t="n">
        <f aca="false">MAX(0,E46+E46*Note_Payoff_Breakeven!$B$6-MAX(0,B46*POWER(1+Note_Payoff_Breakeven!$B$11,3)*Note_Payoff_Breakeven!$B$8-Note_Payoff_Breakeven!$B$7)*Note_Payoff_Breakeven!$B$9*Note_Payoff_Breakeven!$B$10)</f>
        <v>6286689.78196249</v>
      </c>
      <c r="G46" s="52" t="n">
        <f aca="false">MAX(0,F46+F46*Note_Payoff_Breakeven!$B$6-MAX(0,B46*POWER(1+Note_Payoff_Breakeven!$B$11,4)*Note_Payoff_Breakeven!$B$8-Note_Payoff_Breakeven!$B$7)*Note_Payoff_Breakeven!$B$9*Note_Payoff_Breakeven!$B$10)</f>
        <v>6012202.98851096</v>
      </c>
      <c r="H46" s="52" t="n">
        <f aca="false">MAX(0,G46+G46*Note_Payoff_Breakeven!$B$6-MAX(0,B46*POWER(1+Note_Payoff_Breakeven!$B$11,5)*Note_Payoff_Breakeven!$B$8-Note_Payoff_Breakeven!$B$7)*Note_Payoff_Breakeven!$B$9*Note_Payoff_Breakeven!$B$10)</f>
        <v>5725089.80256066</v>
      </c>
      <c r="I46" s="52" t="n">
        <f aca="false">MAX(0,H46+H46*Note_Payoff_Breakeven!$B$6-MAX(0,B46*POWER(1+Note_Payoff_Breakeven!$B$11,6)*Note_Payoff_Breakeven!$B$8-Note_Payoff_Breakeven!$B$7)*Note_Payoff_Breakeven!$B$9*Note_Payoff_Breakeven!$B$10)</f>
        <v>5424769.41005664</v>
      </c>
      <c r="J46" s="52" t="n">
        <f aca="false">MAX(0,I46+I46*Note_Payoff_Breakeven!$B$6-MAX(0,B46*POWER(1+Note_Payoff_Breakeven!$B$11,7)*Note_Payoff_Breakeven!$B$8-Note_Payoff_Breakeven!$B$7)*Note_Payoff_Breakeven!$B$9*Note_Payoff_Breakeven!$B$10)</f>
        <v>5110634.27949744</v>
      </c>
      <c r="K46" s="52" t="n">
        <f aca="false">MAX(0,J46+J46*Note_Payoff_Breakeven!$B$6-MAX(0,B46*POWER(1+Note_Payoff_Breakeven!$B$11,8)*Note_Payoff_Breakeven!$B$8-Note_Payoff_Breakeven!$B$7)*Note_Payoff_Breakeven!$B$9*Note_Payoff_Breakeven!$B$10)</f>
        <v>4782048.93293251</v>
      </c>
      <c r="L46" s="52" t="n">
        <f aca="false">MAX(0,K46+K46*Note_Payoff_Breakeven!$B$6-MAX(0,B46*POWER(1+Note_Payoff_Breakeven!$B$11,9)*Note_Payoff_Breakeven!$B$8-Note_Payoff_Breakeven!$B$7)*Note_Payoff_Breakeven!$B$9*Note_Payoff_Breakeven!$B$10)</f>
        <v>4438348.6604256</v>
      </c>
      <c r="M46" s="52" t="n">
        <f aca="false">MAX(0,L46+L46*Note_Payoff_Breakeven!$B$6-MAX(0,B46*POWER(1+Note_Payoff_Breakeven!$B$11,10)*Note_Payoff_Breakeven!$B$8-Note_Payoff_Breakeven!$B$7)*Note_Payoff_Breakeven!$B$9*Note_Payoff_Breakeven!$B$10)</f>
        <v>4078838.17538337</v>
      </c>
      <c r="N46" s="52" t="n">
        <f aca="false">MAX(0,M46+M46*Note_Payoff_Breakeven!$B$6-MAX(0,B46*POWER(1+Note_Payoff_Breakeven!$B$11,11)*Note_Payoff_Breakeven!$B$8-Note_Payoff_Breakeven!$B$7)*Note_Payoff_Breakeven!$B$9*Note_Payoff_Breakeven!$B$10)</f>
        <v>3702790.2080292</v>
      </c>
      <c r="O46" s="52" t="n">
        <f aca="false">MAX(0,N46+N46*Note_Payoff_Breakeven!$B$6-MAX(0,B46*POWER(1+Note_Payoff_Breakeven!$B$11,12)*Note_Payoff_Breakeven!$B$8-Note_Payoff_Breakeven!$B$7)*Note_Payoff_Breakeven!$B$9*Note_Payoff_Breakeven!$B$10)</f>
        <v>3309444.03417674</v>
      </c>
      <c r="P46" s="52" t="n">
        <f aca="false">MAX(0,O46+O46*Note_Payoff_Breakeven!$B$6-MAX(0,B46*POWER(1+Note_Payoff_Breakeven!$B$11,13)*Note_Payoff_Breakeven!$B$8-Note_Payoff_Breakeven!$B$7)*Note_Payoff_Breakeven!$B$9*Note_Payoff_Breakeven!$B$10)</f>
        <v>2898003.93632706</v>
      </c>
      <c r="Q46" s="52" t="n">
        <f aca="false">MAX(0,P46+P46*Note_Payoff_Breakeven!$B$6-MAX(0,B46*POWER(1+Note_Payoff_Breakeven!$B$11,14)*Note_Payoff_Breakeven!$B$8-Note_Payoff_Breakeven!$B$7)*Note_Payoff_Breakeven!$B$9*Note_Payoff_Breakeven!$B$10)</f>
        <v>2467637.5939763</v>
      </c>
      <c r="R46" s="52" t="n">
        <f aca="false">MAX(0,Q46+Q46*Note_Payoff_Breakeven!$B$6-MAX(0,B46*POWER(1+Note_Payoff_Breakeven!$B$11,15)*Note_Payoff_Breakeven!$B$8-Note_Payoff_Breakeven!$B$7)*Note_Payoff_Breakeven!$B$9*Note_Payoff_Breakeven!$B$10)</f>
        <v>2017474.3998774</v>
      </c>
      <c r="S46" s="52" t="n">
        <f aca="false">MAX(0,R46+R46*Note_Payoff_Breakeven!$B$6-MAX(0,B46*POWER(1+Note_Payoff_Breakeven!$B$11,16)*Note_Payoff_Breakeven!$B$8-Note_Payoff_Breakeven!$B$7)*Note_Payoff_Breakeven!$B$9*Note_Payoff_Breakeven!$B$10)</f>
        <v>1546603.69884995</v>
      </c>
      <c r="T46" s="52" t="n">
        <f aca="false">MAX(0,S46+S46*Note_Payoff_Breakeven!$B$6-MAX(0,B46*POWER(1+Note_Payoff_Breakeven!$B$11,17)*Note_Payoff_Breakeven!$B$8-Note_Payoff_Breakeven!$B$7)*Note_Payoff_Breakeven!$B$9*Note_Payoff_Breakeven!$B$10)</f>
        <v>1054072.94557524</v>
      </c>
      <c r="U46" s="52" t="n">
        <f aca="false">MAX(0,T46+T46*Note_Payoff_Breakeven!$B$6-MAX(0,B46*POWER(1+Note_Payoff_Breakeven!$B$11,18)*Note_Payoff_Breakeven!$B$8-Note_Payoff_Breakeven!$B$7)*Note_Payoff_Breakeven!$B$9*Note_Payoff_Breakeven!$B$10)</f>
        <v>538885.777649898</v>
      </c>
      <c r="V46" s="52" t="n">
        <f aca="false">MAX(0,U46+U46*Note_Payoff_Breakeven!$B$6-MAX(0,B46*POWER(1+Note_Payoff_Breakeven!$B$11,19)*Note_Payoff_Breakeven!$B$8-Note_Payoff_Breakeven!$B$7)*Note_Payoff_Breakeven!$B$9*Note_Payoff_Breakeven!$B$10)</f>
        <v>0</v>
      </c>
    </row>
    <row r="47" customFormat="false" ht="15" hidden="false" customHeight="true" outlineLevel="0" collapsed="false">
      <c r="A47" s="93" t="str">
        <f aca="false">A33</f>
        <v>500K below breakeven</v>
      </c>
      <c r="B47" s="24" t="n">
        <f aca="false">B33</f>
        <v>41659406.0134347</v>
      </c>
      <c r="C47" s="52" t="n">
        <f aca="false">MAX(0,Note_Payoff_Breakeven!$B$5+Note_Payoff_Breakeven!$B$5*Note_Payoff_Breakeven!$B$6-MAX(0,B47*POWER(1+Note_Payoff_Breakeven!$B$11,0)*Note_Payoff_Breakeven!$B$8-Note_Payoff_Breakeven!$B$7)*Note_Payoff_Breakeven!$B$9*Note_Payoff_Breakeven!$B$10)</f>
        <v>7047015.96329819</v>
      </c>
      <c r="D47" s="52" t="n">
        <f aca="false">MAX(0,C47+C47*Note_Payoff_Breakeven!$B$6-MAX(0,B47*POWER(1+Note_Payoff_Breakeven!$B$11,1)*Note_Payoff_Breakeven!$B$8-Note_Payoff_Breakeven!$B$7)*Note_Payoff_Breakeven!$B$9*Note_Payoff_Breakeven!$B$10)</f>
        <v>6814696.6366881</v>
      </c>
      <c r="E47" s="52" t="n">
        <f aca="false">MAX(0,D47+D47*Note_Payoff_Breakeven!$B$6-MAX(0,B47*POWER(1+Note_Payoff_Breakeven!$B$11,2)*Note_Payoff_Breakeven!$B$8-Note_Payoff_Breakeven!$B$7)*Note_Payoff_Breakeven!$B$9*Note_Payoff_Breakeven!$B$10)</f>
        <v>6571690.62105395</v>
      </c>
      <c r="F47" s="52" t="n">
        <f aca="false">MAX(0,E47+E47*Note_Payoff_Breakeven!$B$6-MAX(0,B47*POWER(1+Note_Payoff_Breakeven!$B$11,3)*Note_Payoff_Breakeven!$B$8-Note_Payoff_Breakeven!$B$7)*Note_Payoff_Breakeven!$B$9*Note_Payoff_Breakeven!$B$10)</f>
        <v>6317506.32870062</v>
      </c>
      <c r="G47" s="52" t="n">
        <f aca="false">MAX(0,F47+F47*Note_Payoff_Breakeven!$B$6-MAX(0,B47*POWER(1+Note_Payoff_Breakeven!$B$11,4)*Note_Payoff_Breakeven!$B$8-Note_Payoff_Breakeven!$B$7)*Note_Payoff_Breakeven!$B$9*Note_Payoff_Breakeven!$B$10)</f>
        <v>6051629.55889905</v>
      </c>
      <c r="H47" s="52" t="n">
        <f aca="false">MAX(0,G47+G47*Note_Payoff_Breakeven!$B$6-MAX(0,B47*POWER(1+Note_Payoff_Breakeven!$B$11,5)*Note_Payoff_Breakeven!$B$8-Note_Payoff_Breakeven!$B$7)*Note_Payoff_Breakeven!$B$9*Note_Payoff_Breakeven!$B$10)</f>
        <v>5773522.45768659</v>
      </c>
      <c r="I47" s="52" t="n">
        <f aca="false">MAX(0,H47+H47*Note_Payoff_Breakeven!$B$6-MAX(0,B47*POWER(1+Note_Payoff_Breakeven!$B$11,6)*Note_Payoff_Breakeven!$B$8-Note_Payoff_Breakeven!$B$7)*Note_Payoff_Breakeven!$B$9*Note_Payoff_Breakeven!$B$10)</f>
        <v>5482622.42981837</v>
      </c>
      <c r="J47" s="52" t="n">
        <f aca="false">MAX(0,I47+I47*Note_Payoff_Breakeven!$B$6-MAX(0,B47*POWER(1+Note_Payoff_Breakeven!$B$11,7)*Note_Payoff_Breakeven!$B$8-Note_Payoff_Breakeven!$B$7)*Note_Payoff_Breakeven!$B$9*Note_Payoff_Breakeven!$B$10)</f>
        <v>5178341.00066821</v>
      </c>
      <c r="K47" s="52" t="n">
        <f aca="false">MAX(0,J47+J47*Note_Payoff_Breakeven!$B$6-MAX(0,B47*POWER(1+Note_Payoff_Breakeven!$B$11,8)*Note_Payoff_Breakeven!$B$8-Note_Payoff_Breakeven!$B$7)*Note_Payoff_Breakeven!$B$9*Note_Payoff_Breakeven!$B$10)</f>
        <v>4860062.62577714</v>
      </c>
      <c r="L47" s="52" t="n">
        <f aca="false">MAX(0,K47+K47*Note_Payoff_Breakeven!$B$6-MAX(0,B47*POWER(1+Note_Payoff_Breakeven!$B$11,9)*Note_Payoff_Breakeven!$B$8-Note_Payoff_Breakeven!$B$7)*Note_Payoff_Breakeven!$B$9*Note_Payoff_Breakeven!$B$10)</f>
        <v>4527143.44564108</v>
      </c>
      <c r="M47" s="52" t="n">
        <f aca="false">MAX(0,L47+L47*Note_Payoff_Breakeven!$B$6-MAX(0,B47*POWER(1+Note_Payoff_Breakeven!$B$11,10)*Note_Payoff_Breakeven!$B$8-Note_Payoff_Breakeven!$B$7)*Note_Payoff_Breakeven!$B$9*Note_Payoff_Breakeven!$B$10)</f>
        <v>4178909.98321877</v>
      </c>
      <c r="N47" s="52" t="n">
        <f aca="false">MAX(0,M47+M47*Note_Payoff_Breakeven!$B$6-MAX(0,B47*POWER(1+Note_Payoff_Breakeven!$B$11,11)*Note_Payoff_Breakeven!$B$8-Note_Payoff_Breakeven!$B$7)*Note_Payoff_Breakeven!$B$9*Note_Payoff_Breakeven!$B$10)</f>
        <v>3814657.78152502</v>
      </c>
      <c r="O47" s="52" t="n">
        <f aca="false">MAX(0,N47+N47*Note_Payoff_Breakeven!$B$6-MAX(0,B47*POWER(1+Note_Payoff_Breakeven!$B$11,12)*Note_Payoff_Breakeven!$B$8-Note_Payoff_Breakeven!$B$7)*Note_Payoff_Breakeven!$B$9*Note_Payoff_Breakeven!$B$10)</f>
        <v>3433649.97855337</v>
      </c>
      <c r="P47" s="52" t="n">
        <f aca="false">MAX(0,O47+O47*Note_Payoff_Breakeven!$B$6-MAX(0,B47*POWER(1+Note_Payoff_Breakeven!$B$11,13)*Note_Payoff_Breakeven!$B$8-Note_Payoff_Breakeven!$B$7)*Note_Payoff_Breakeven!$B$9*Note_Payoff_Breakeven!$B$10)</f>
        <v>3035115.81664501</v>
      </c>
      <c r="Q47" s="52" t="n">
        <f aca="false">MAX(0,P47+P47*Note_Payoff_Breakeven!$B$6-MAX(0,B47*POWER(1+Note_Payoff_Breakeven!$B$11,14)*Note_Payoff_Breakeven!$B$8-Note_Payoff_Breakeven!$B$7)*Note_Payoff_Breakeven!$B$9*Note_Payoff_Breakeven!$B$10)</f>
        <v>2618249.08328888</v>
      </c>
      <c r="R47" s="52" t="n">
        <f aca="false">MAX(0,Q47+Q47*Note_Payoff_Breakeven!$B$6-MAX(0,B47*POWER(1+Note_Payoff_Breakeven!$B$11,15)*Note_Payoff_Breakeven!$B$8-Note_Payoff_Breakeven!$B$7)*Note_Payoff_Breakeven!$B$9*Note_Payoff_Breakeven!$B$10)</f>
        <v>2182206.48019836</v>
      </c>
      <c r="S47" s="52" t="n">
        <f aca="false">MAX(0,R47+R47*Note_Payoff_Breakeven!$B$6-MAX(0,B47*POWER(1+Note_Payoff_Breakeven!$B$11,16)*Note_Payoff_Breakeven!$B$8-Note_Payoff_Breakeven!$B$7)*Note_Payoff_Breakeven!$B$9*Note_Payoff_Breakeven!$B$10)</f>
        <v>1726105.91736568</v>
      </c>
      <c r="T47" s="52" t="n">
        <f aca="false">MAX(0,S47+S47*Note_Payoff_Breakeven!$B$6-MAX(0,B47*POWER(1+Note_Payoff_Breakeven!$B$11,17)*Note_Payoff_Breakeven!$B$8-Note_Payoff_Breakeven!$B$7)*Note_Payoff_Breakeven!$B$9*Note_Payoff_Breakeven!$B$10)</f>
        <v>1249024.72864269</v>
      </c>
      <c r="U47" s="52" t="n">
        <f aca="false">MAX(0,T47+T47*Note_Payoff_Breakeven!$B$6-MAX(0,B47*POWER(1+Note_Payoff_Breakeven!$B$11,18)*Note_Payoff_Breakeven!$B$8-Note_Payoff_Breakeven!$B$7)*Note_Payoff_Breakeven!$B$9*Note_Payoff_Breakeven!$B$10)</f>
        <v>749997.805238447</v>
      </c>
      <c r="V47" s="52" t="n">
        <f aca="false">MAX(0,U47+U47*Note_Payoff_Breakeven!$B$6-MAX(0,B47*POWER(1+Note_Payoff_Breakeven!$B$11,19)*Note_Payoff_Breakeven!$B$8-Note_Payoff_Breakeven!$B$7)*Note_Payoff_Breakeven!$B$9*Note_Payoff_Breakeven!$B$10)</f>
        <v>228015.643357609</v>
      </c>
    </row>
    <row r="48" customFormat="false" ht="15" hidden="false" customHeight="true" outlineLevel="0" collapsed="false">
      <c r="A48" s="93" t="str">
        <f aca="false">A34</f>
        <v>1M below breakeven</v>
      </c>
      <c r="B48" s="24" t="n">
        <f aca="false">B34</f>
        <v>41159406.0134347</v>
      </c>
      <c r="C48" s="52" t="n">
        <f aca="false">MAX(0,Note_Payoff_Breakeven!$B$5+Note_Payoff_Breakeven!$B$5*Note_Payoff_Breakeven!$B$6-MAX(0,B48*POWER(1+Note_Payoff_Breakeven!$B$11,0)*Note_Payoff_Breakeven!$B$8-Note_Payoff_Breakeven!$B$7)*Note_Payoff_Breakeven!$B$9*Note_Payoff_Breakeven!$B$10)</f>
        <v>7054208.42579819</v>
      </c>
      <c r="D48" s="52" t="n">
        <f aca="false">MAX(0,C48+C48*Note_Payoff_Breakeven!$B$6-MAX(0,B48*POWER(1+Note_Payoff_Breakeven!$B$11,1)*Note_Payoff_Breakeven!$B$8-Note_Payoff_Breakeven!$B$7)*Note_Payoff_Breakeven!$B$9*Note_Payoff_Breakeven!$B$10)</f>
        <v>6829412.4149631</v>
      </c>
      <c r="E48" s="52" t="n">
        <f aca="false">MAX(0,D48+D48*Note_Payoff_Breakeven!$B$6-MAX(0,B48*POWER(1+Note_Payoff_Breakeven!$B$11,2)*Note_Payoff_Breakeven!$B$8-Note_Payoff_Breakeven!$B$7)*Note_Payoff_Breakeven!$B$9*Note_Payoff_Breakeven!$B$10)</f>
        <v>6594275.7876296</v>
      </c>
      <c r="F48" s="52" t="n">
        <f aca="false">MAX(0,E48+E48*Note_Payoff_Breakeven!$B$6-MAX(0,B48*POWER(1+Note_Payoff_Breakeven!$B$11,3)*Note_Payoff_Breakeven!$B$8-Note_Payoff_Breakeven!$B$7)*Note_Payoff_Breakeven!$B$9*Note_Payoff_Breakeven!$B$10)</f>
        <v>6348322.87543876</v>
      </c>
      <c r="G48" s="52" t="n">
        <f aca="false">MAX(0,F48+F48*Note_Payoff_Breakeven!$B$6-MAX(0,B48*POWER(1+Note_Payoff_Breakeven!$B$11,4)*Note_Payoff_Breakeven!$B$8-Note_Payoff_Breakeven!$B$7)*Note_Payoff_Breakeven!$B$9*Note_Payoff_Breakeven!$B$10)</f>
        <v>6091056.12928713</v>
      </c>
      <c r="H48" s="52" t="n">
        <f aca="false">MAX(0,G48+G48*Note_Payoff_Breakeven!$B$6-MAX(0,B48*POWER(1+Note_Payoff_Breakeven!$B$11,5)*Note_Payoff_Breakeven!$B$8-Note_Payoff_Breakeven!$B$7)*Note_Payoff_Breakeven!$B$9*Note_Payoff_Breakeven!$B$10)</f>
        <v>5821955.11281253</v>
      </c>
      <c r="I48" s="52" t="n">
        <f aca="false">MAX(0,H48+H48*Note_Payoff_Breakeven!$B$6-MAX(0,B48*POWER(1+Note_Payoff_Breakeven!$B$11,6)*Note_Payoff_Breakeven!$B$8-Note_Payoff_Breakeven!$B$7)*Note_Payoff_Breakeven!$B$9*Note_Payoff_Breakeven!$B$10)</f>
        <v>5540475.4495801</v>
      </c>
      <c r="J48" s="52" t="n">
        <f aca="false">MAX(0,I48+I48*Note_Payoff_Breakeven!$B$6-MAX(0,B48*POWER(1+Note_Payoff_Breakeven!$B$11,7)*Note_Payoff_Breakeven!$B$8-Note_Payoff_Breakeven!$B$7)*Note_Payoff_Breakeven!$B$9*Note_Payoff_Breakeven!$B$10)</f>
        <v>5246047.72183898</v>
      </c>
      <c r="K48" s="52" t="n">
        <f aca="false">MAX(0,J48+J48*Note_Payoff_Breakeven!$B$6-MAX(0,B48*POWER(1+Note_Payoff_Breakeven!$B$11,8)*Note_Payoff_Breakeven!$B$8-Note_Payoff_Breakeven!$B$7)*Note_Payoff_Breakeven!$B$9*Note_Payoff_Breakeven!$B$10)</f>
        <v>4938076.31862177</v>
      </c>
      <c r="L48" s="52" t="n">
        <f aca="false">MAX(0,K48+K48*Note_Payoff_Breakeven!$B$6-MAX(0,B48*POWER(1+Note_Payoff_Breakeven!$B$11,9)*Note_Payoff_Breakeven!$B$8-Note_Payoff_Breakeven!$B$7)*Note_Payoff_Breakeven!$B$9*Note_Payoff_Breakeven!$B$10)</f>
        <v>4615938.23085657</v>
      </c>
      <c r="M48" s="52" t="n">
        <f aca="false">MAX(0,L48+L48*Note_Payoff_Breakeven!$B$6-MAX(0,B48*POWER(1+Note_Payoff_Breakeven!$B$11,10)*Note_Payoff_Breakeven!$B$8-Note_Payoff_Breakeven!$B$7)*Note_Payoff_Breakeven!$B$9*Note_Payoff_Breakeven!$B$10)</f>
        <v>4278981.79105416</v>
      </c>
      <c r="N48" s="52" t="n">
        <f aca="false">MAX(0,M48+M48*Note_Payoff_Breakeven!$B$6-MAX(0,B48*POWER(1+Note_Payoff_Breakeven!$B$11,11)*Note_Payoff_Breakeven!$B$8-Note_Payoff_Breakeven!$B$7)*Note_Payoff_Breakeven!$B$9*Note_Payoff_Breakeven!$B$10)</f>
        <v>3926525.35502085</v>
      </c>
      <c r="O48" s="52" t="n">
        <f aca="false">MAX(0,N48+N48*Note_Payoff_Breakeven!$B$6-MAX(0,B48*POWER(1+Note_Payoff_Breakeven!$B$11,12)*Note_Payoff_Breakeven!$B$8-Note_Payoff_Breakeven!$B$7)*Note_Payoff_Breakeven!$B$9*Note_Payoff_Breakeven!$B$10)</f>
        <v>3557855.92293</v>
      </c>
      <c r="P48" s="52" t="n">
        <f aca="false">MAX(0,O48+O48*Note_Payoff_Breakeven!$B$6-MAX(0,B48*POWER(1+Note_Payoff_Breakeven!$B$11,13)*Note_Payoff_Breakeven!$B$8-Note_Payoff_Breakeven!$B$7)*Note_Payoff_Breakeven!$B$9*Note_Payoff_Breakeven!$B$10)</f>
        <v>3172227.69696297</v>
      </c>
      <c r="Q48" s="52" t="n">
        <f aca="false">MAX(0,P48+P48*Note_Payoff_Breakeven!$B$6-MAX(0,B48*POWER(1+Note_Payoff_Breakeven!$B$11,14)*Note_Payoff_Breakeven!$B$8-Note_Payoff_Breakeven!$B$7)*Note_Payoff_Breakeven!$B$9*Note_Payoff_Breakeven!$B$10)</f>
        <v>2768860.57260146</v>
      </c>
      <c r="R48" s="52" t="n">
        <f aca="false">MAX(0,Q48+Q48*Note_Payoff_Breakeven!$B$6-MAX(0,B48*POWER(1+Note_Payoff_Breakeven!$B$11,15)*Note_Payoff_Breakeven!$B$8-Note_Payoff_Breakeven!$B$7)*Note_Payoff_Breakeven!$B$9*Note_Payoff_Breakeven!$B$10)</f>
        <v>2346938.56051932</v>
      </c>
      <c r="S48" s="52" t="n">
        <f aca="false">MAX(0,R48+R48*Note_Payoff_Breakeven!$B$6-MAX(0,B48*POWER(1+Note_Payoff_Breakeven!$B$11,16)*Note_Payoff_Breakeven!$B$8-Note_Payoff_Breakeven!$B$7)*Note_Payoff_Breakeven!$B$9*Note_Payoff_Breakeven!$B$10)</f>
        <v>1905608.1358814</v>
      </c>
      <c r="T48" s="52" t="n">
        <f aca="false">MAX(0,S48+S48*Note_Payoff_Breakeven!$B$6-MAX(0,B48*POWER(1+Note_Payoff_Breakeven!$B$11,17)*Note_Payoff_Breakeven!$B$8-Note_Payoff_Breakeven!$B$7)*Note_Payoff_Breakeven!$B$9*Note_Payoff_Breakeven!$B$10)</f>
        <v>1443976.51171014</v>
      </c>
      <c r="U48" s="52" t="n">
        <f aca="false">MAX(0,T48+T48*Note_Payoff_Breakeven!$B$6-MAX(0,B48*POWER(1+Note_Payoff_Breakeven!$B$11,18)*Note_Payoff_Breakeven!$B$8-Note_Payoff_Breakeven!$B$7)*Note_Payoff_Breakeven!$B$9*Note_Payoff_Breakeven!$B$10)</f>
        <v>961109.832826998</v>
      </c>
      <c r="V48" s="52" t="n">
        <f aca="false">MAX(0,U48+U48*Note_Payoff_Breakeven!$B$6-MAX(0,B48*POWER(1+Note_Payoff_Breakeven!$B$11,19)*Note_Payoff_Breakeven!$B$8-Note_Payoff_Breakeven!$B$7)*Note_Payoff_Breakeven!$B$9*Note_Payoff_Breakeven!$B$10)</f>
        <v>456031.286715233</v>
      </c>
    </row>
    <row r="51" customFormat="false" ht="15" hidden="false" customHeight="true" outlineLevel="0" collapsed="false">
      <c r="A51" s="10" t="s">
        <v>300</v>
      </c>
      <c r="B51" s="10"/>
      <c r="C51" s="10"/>
      <c r="D51" s="10"/>
      <c r="E51" s="10"/>
      <c r="F51" s="10"/>
      <c r="G51" s="10"/>
      <c r="H51" s="10"/>
    </row>
    <row r="52" customFormat="false" ht="31.5" hidden="false" customHeight="true" outlineLevel="0" collapsed="false">
      <c r="A52" s="21" t="s">
        <v>301</v>
      </c>
      <c r="B52" s="21"/>
      <c r="C52" s="21"/>
      <c r="D52" s="21"/>
      <c r="E52" s="21"/>
      <c r="F52" s="21"/>
      <c r="G52" s="21"/>
      <c r="H52" s="21"/>
    </row>
    <row r="53" customFormat="false" ht="31.5" hidden="false" customHeight="true" outlineLevel="0" collapsed="false">
      <c r="A53" s="21" t="s">
        <v>302</v>
      </c>
      <c r="B53" s="21"/>
      <c r="C53" s="21"/>
      <c r="D53" s="21"/>
      <c r="E53" s="21"/>
      <c r="F53" s="21"/>
      <c r="G53" s="21"/>
      <c r="H53" s="21"/>
    </row>
    <row r="54" customFormat="false" ht="31.5" hidden="false" customHeight="true" outlineLevel="0" collapsed="false">
      <c r="A54" s="21" t="s">
        <v>303</v>
      </c>
      <c r="B54" s="21"/>
      <c r="C54" s="21"/>
      <c r="D54" s="21"/>
      <c r="E54" s="21"/>
      <c r="F54" s="21"/>
      <c r="G54" s="21"/>
      <c r="H54" s="21"/>
    </row>
    <row r="55" customFormat="false" ht="31.5" hidden="false" customHeight="true" outlineLevel="0" collapsed="false">
      <c r="A55" s="21" t="s">
        <v>304</v>
      </c>
      <c r="B55" s="21"/>
      <c r="C55" s="21"/>
      <c r="D55" s="21"/>
      <c r="E55" s="21"/>
      <c r="F55" s="21"/>
      <c r="G55" s="21"/>
      <c r="H55" s="21"/>
    </row>
    <row r="56" customFormat="false" ht="31.5" hidden="false" customHeight="true" outlineLevel="0" collapsed="false">
      <c r="A56" s="21" t="s">
        <v>305</v>
      </c>
      <c r="B56" s="21"/>
      <c r="C56" s="21"/>
      <c r="D56" s="21"/>
      <c r="E56" s="21"/>
      <c r="F56" s="21"/>
      <c r="G56" s="21"/>
      <c r="H56" s="21"/>
    </row>
    <row r="57" customFormat="false" ht="31.5" hidden="false" customHeight="true" outlineLevel="0" collapsed="false">
      <c r="A57" s="21" t="s">
        <v>306</v>
      </c>
      <c r="B57" s="21"/>
      <c r="C57" s="21"/>
      <c r="D57" s="21"/>
      <c r="E57" s="21"/>
      <c r="F57" s="21"/>
      <c r="G57" s="21"/>
      <c r="H57" s="21"/>
    </row>
  </sheetData>
  <mergeCells count="26">
    <mergeCell ref="A1:H1"/>
    <mergeCell ref="A2:H2"/>
    <mergeCell ref="A4:H4"/>
    <mergeCell ref="C5:H5"/>
    <mergeCell ref="C6:H6"/>
    <mergeCell ref="C7:H7"/>
    <mergeCell ref="C8:H8"/>
    <mergeCell ref="C9:H9"/>
    <mergeCell ref="C10:H10"/>
    <mergeCell ref="C11:H11"/>
    <mergeCell ref="C12:H12"/>
    <mergeCell ref="C13:H13"/>
    <mergeCell ref="A15:H15"/>
    <mergeCell ref="C17:H17"/>
    <mergeCell ref="C18:H18"/>
    <mergeCell ref="C19:H19"/>
    <mergeCell ref="D21:H21"/>
    <mergeCell ref="A23:H23"/>
    <mergeCell ref="A37:V37"/>
    <mergeCell ref="A51:H51"/>
    <mergeCell ref="A52:H52"/>
    <mergeCell ref="A53:H53"/>
    <mergeCell ref="A54:H54"/>
    <mergeCell ref="A55:H55"/>
    <mergeCell ref="A56:H56"/>
    <mergeCell ref="A57:H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3" min="2" style="1" width="20"/>
    <col collapsed="false" customWidth="true" hidden="false" outlineLevel="0" max="4" min="4" style="1" width="22"/>
    <col collapsed="false" customWidth="true" hidden="false" outlineLevel="0" max="5" min="5" style="1" width="60"/>
  </cols>
  <sheetData>
    <row r="1" customFormat="false" ht="17.25" hidden="false" customHeight="true" outlineLevel="0" collapsed="false">
      <c r="A1" s="9" t="s">
        <v>307</v>
      </c>
      <c r="B1" s="9"/>
      <c r="C1" s="9"/>
      <c r="D1" s="9"/>
      <c r="E1" s="9"/>
    </row>
    <row r="2" customFormat="false" ht="15" hidden="false" customHeight="true" outlineLevel="0" collapsed="false">
      <c r="A2" s="17" t="s">
        <v>308</v>
      </c>
      <c r="B2" s="17"/>
      <c r="C2" s="17"/>
      <c r="D2" s="17"/>
      <c r="E2" s="17"/>
    </row>
    <row r="4" customFormat="false" ht="15" hidden="false" customHeight="true" outlineLevel="0" collapsed="false">
      <c r="A4" s="18" t="s">
        <v>309</v>
      </c>
      <c r="B4" s="18" t="s">
        <v>310</v>
      </c>
      <c r="C4" s="18" t="s">
        <v>311</v>
      </c>
      <c r="D4" s="18" t="s">
        <v>312</v>
      </c>
      <c r="E4" s="18" t="s">
        <v>313</v>
      </c>
    </row>
    <row r="5" customFormat="false" ht="15" hidden="false" customHeight="true" outlineLevel="0" collapsed="false">
      <c r="A5" s="31" t="s">
        <v>314</v>
      </c>
      <c r="B5" s="24" t="n">
        <f aca="false">Assumptions!$B$24</f>
        <v>11031000</v>
      </c>
      <c r="C5" s="25" t="n">
        <f aca="false">Assumptions!$B$19-Assumptions!$B$18</f>
        <v>11031000</v>
      </c>
      <c r="D5" s="25" t="n">
        <f aca="false">C5-B5</f>
        <v>0</v>
      </c>
      <c r="E5" s="30" t="s">
        <v>315</v>
      </c>
    </row>
    <row r="6" customFormat="false" ht="15" hidden="false" customHeight="true" outlineLevel="0" collapsed="false">
      <c r="A6" s="31" t="s">
        <v>316</v>
      </c>
      <c r="B6" s="24" t="n">
        <f aca="false">Assumptions!$B$25</f>
        <v>137888</v>
      </c>
      <c r="C6" s="25" t="n">
        <f aca="false">(Assumptions!$B$19-Assumptions!$B$18)*Assumptions!$B$4</f>
        <v>137887.5</v>
      </c>
      <c r="D6" s="25" t="n">
        <f aca="false">C6-B6</f>
        <v>-0.5</v>
      </c>
      <c r="E6" s="30" t="s">
        <v>317</v>
      </c>
    </row>
    <row r="7" customFormat="false" ht="15" hidden="false" customHeight="true" outlineLevel="0" collapsed="false">
      <c r="A7" s="31" t="s">
        <v>318</v>
      </c>
      <c r="B7" s="24" t="n">
        <f aca="false">Assumptions!$B$26</f>
        <v>176312</v>
      </c>
      <c r="C7" s="25" t="n">
        <f aca="false">(Assumptions!$B$19-Assumptions!$B$18)*Assumptions!$B$4*Assumptions!$B$5</f>
        <v>176311.23075</v>
      </c>
      <c r="D7" s="25" t="n">
        <f aca="false">C7-B7</f>
        <v>-0.769250000012107</v>
      </c>
      <c r="E7" s="30" t="s">
        <v>319</v>
      </c>
    </row>
    <row r="8" customFormat="false" ht="15" hidden="false" customHeight="true" outlineLevel="0" collapsed="false">
      <c r="A8" s="31" t="s">
        <v>320</v>
      </c>
      <c r="B8" s="24" t="n">
        <f aca="false">Assumptions!$B$27</f>
        <v>158681</v>
      </c>
      <c r="C8" s="25" t="n">
        <f aca="false">(Assumptions!$B$19-Assumptions!$B$18)*Assumptions!$B$4*Assumptions!$B$5*(1-Assumptions!$B$7)</f>
        <v>158680.107675</v>
      </c>
      <c r="D8" s="25" t="n">
        <f aca="false">C8-B8</f>
        <v>-0.892324999993434</v>
      </c>
      <c r="E8" s="30" t="s">
        <v>321</v>
      </c>
    </row>
    <row r="9" customFormat="false" ht="27.75" hidden="false" customHeight="true" outlineLevel="0" collapsed="false">
      <c r="A9" s="31" t="s">
        <v>322</v>
      </c>
      <c r="B9" s="94" t="s">
        <v>237</v>
      </c>
      <c r="C9" s="25" t="n">
        <f aca="false">(Assumptions!$B$19-Assumptions!$B$18)*Assumptions!$B$4*Assumptions!$B$5</f>
        <v>176311.23075</v>
      </c>
      <c r="D9" s="95" t="s">
        <v>237</v>
      </c>
      <c r="E9" s="30" t="s">
        <v>323</v>
      </c>
    </row>
    <row r="10" customFormat="false" ht="15" hidden="false" customHeight="true" outlineLevel="0" collapsed="false">
      <c r="A10" s="31" t="s">
        <v>324</v>
      </c>
      <c r="B10" s="24" t="n">
        <f aca="false">Assumptions!$B$28</f>
        <v>2856258</v>
      </c>
      <c r="C10" s="25" t="n">
        <f aca="false">(Assumptions!$B$19-Assumptions!$B$18)*Assumptions!$B$4*Assumptions!$B$5*18</f>
        <v>3173602.1535</v>
      </c>
      <c r="D10" s="25" t="n">
        <f aca="false">C10-B10</f>
        <v>317344.1535</v>
      </c>
      <c r="E10" s="30" t="s">
        <v>325</v>
      </c>
    </row>
    <row r="13" customFormat="false" ht="15" hidden="false" customHeight="true" outlineLevel="0" collapsed="false">
      <c r="A13" s="10" t="s">
        <v>326</v>
      </c>
      <c r="B13" s="10"/>
      <c r="C13" s="10"/>
      <c r="D13" s="10"/>
      <c r="E13" s="10"/>
    </row>
    <row r="14" customFormat="false" ht="27.75" hidden="false" customHeight="true" outlineLevel="0" collapsed="false">
      <c r="A14" s="18" t="s">
        <v>176</v>
      </c>
      <c r="B14" s="18" t="s">
        <v>327</v>
      </c>
      <c r="C14" s="18" t="s">
        <v>310</v>
      </c>
      <c r="D14" s="18" t="s">
        <v>312</v>
      </c>
      <c r="E14" s="18" t="s">
        <v>328</v>
      </c>
    </row>
    <row r="15" customFormat="false" ht="15" hidden="false" customHeight="true" outlineLevel="0" collapsed="false">
      <c r="A15" s="31" t="s">
        <v>329</v>
      </c>
      <c r="B15" s="24" t="n">
        <f aca="false">Engine_MAA_Floor!N25</f>
        <v>13311889.51125</v>
      </c>
      <c r="C15" s="95" t="s">
        <v>237</v>
      </c>
      <c r="D15" s="95" t="s">
        <v>237</v>
      </c>
      <c r="E15" s="30" t="s">
        <v>330</v>
      </c>
    </row>
    <row r="16" customFormat="false" ht="15" hidden="false" customHeight="true" outlineLevel="0" collapsed="false">
      <c r="A16" s="31" t="s">
        <v>331</v>
      </c>
      <c r="B16" s="24" t="n">
        <f aca="false">Engine_Current!N25-Engine_MAA_Floor!N25</f>
        <v>3349913.38425</v>
      </c>
      <c r="C16" s="25" t="n">
        <f aca="false">(Assumptions!$B$19-Assumptions!$B$18)*Assumptions!$B$4*Assumptions!$B$5*19</f>
        <v>3349913.38425</v>
      </c>
      <c r="D16" s="25" t="n">
        <f aca="false">B16-C16</f>
        <v>0</v>
      </c>
      <c r="E16" s="30" t="s">
        <v>332</v>
      </c>
    </row>
    <row r="17" customFormat="false" ht="27.75" hidden="false" customHeight="true" outlineLevel="0" collapsed="false">
      <c r="A17" s="31" t="s">
        <v>333</v>
      </c>
      <c r="B17" s="24" t="n">
        <f aca="false">Engine_Current!I25-Engine_MAA_Floor!I25</f>
        <v>3004068.32646003</v>
      </c>
      <c r="C17" s="95" t="s">
        <v>237</v>
      </c>
      <c r="D17" s="95" t="s">
        <v>237</v>
      </c>
      <c r="E17" s="30" t="s">
        <v>334</v>
      </c>
    </row>
    <row r="18" customFormat="false" ht="27.75" hidden="false" customHeight="true" outlineLevel="0" collapsed="false">
      <c r="A18" s="31" t="s">
        <v>335</v>
      </c>
      <c r="B18" s="24" t="n">
        <f aca="false">(Engine_Current!N28-Engine_MAA_Floor!N28)-(Engine_Current!I28-Engine_MAA_Floor!I28)</f>
        <v>219981.49953273</v>
      </c>
      <c r="C18" s="24" t="n">
        <f aca="false">Assumptions!$B$31</f>
        <v>1100000</v>
      </c>
      <c r="D18" s="25" t="n">
        <f aca="false">B18-C18</f>
        <v>-880018.50046727</v>
      </c>
      <c r="E18" s="30" t="s">
        <v>336</v>
      </c>
    </row>
  </sheetData>
  <mergeCells count="3">
    <mergeCell ref="A1:E1"/>
    <mergeCell ref="A2:E2"/>
    <mergeCell ref="A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9" min="2" style="1" width="18"/>
  </cols>
  <sheetData>
    <row r="1" customFormat="false" ht="17.25" hidden="false" customHeight="true" outlineLevel="0" collapsed="false">
      <c r="A1" s="9" t="s">
        <v>337</v>
      </c>
      <c r="B1" s="9"/>
      <c r="C1" s="9"/>
      <c r="D1" s="9"/>
      <c r="E1" s="9"/>
      <c r="F1" s="9"/>
      <c r="G1" s="9"/>
      <c r="H1" s="9"/>
      <c r="I1" s="9"/>
    </row>
    <row r="2" customFormat="false" ht="60" hidden="false" customHeight="true" outlineLevel="0" collapsed="false">
      <c r="A2" s="17" t="s">
        <v>338</v>
      </c>
      <c r="B2" s="17"/>
      <c r="C2" s="17"/>
      <c r="D2" s="17"/>
      <c r="E2" s="17"/>
      <c r="F2" s="17"/>
      <c r="G2" s="17"/>
      <c r="H2" s="17"/>
      <c r="I2" s="17"/>
    </row>
    <row r="4" customFormat="false" ht="49.5" hidden="false" customHeight="true" outlineLevel="0" collapsed="false">
      <c r="A4" s="18" t="s">
        <v>101</v>
      </c>
      <c r="B4" s="18" t="s">
        <v>339</v>
      </c>
      <c r="C4" s="18" t="s">
        <v>340</v>
      </c>
      <c r="D4" s="18" t="s">
        <v>341</v>
      </c>
      <c r="E4" s="18" t="s">
        <v>342</v>
      </c>
      <c r="F4" s="18" t="s">
        <v>343</v>
      </c>
      <c r="G4" s="18" t="s">
        <v>344</v>
      </c>
      <c r="H4" s="18" t="s">
        <v>345</v>
      </c>
      <c r="I4" s="18" t="s">
        <v>346</v>
      </c>
    </row>
    <row r="5" customFormat="false" ht="15" hidden="false" customHeight="true" outlineLevel="0" collapsed="false">
      <c r="A5" s="31" t="s">
        <v>347</v>
      </c>
      <c r="B5" s="14" t="n">
        <v>54866000</v>
      </c>
      <c r="C5" s="25" t="n">
        <f aca="false">(Assumptions!$B$19-B5)*Assumptions!$B$4*Assumptions!$B$5</f>
        <v>0</v>
      </c>
      <c r="D5" s="25" t="n">
        <f aca="false">(Assumptions!$B$19-B5)*Assumptions!$B$4*Assumptions!$B$5*(1-Assumptions!$B$8)*(1-Assumptions!$B$7)*Assumptions!$B$6</f>
        <v>0</v>
      </c>
      <c r="E5" s="25" t="n">
        <f aca="false">C5*19</f>
        <v>0</v>
      </c>
      <c r="F5" s="25" t="n">
        <f aca="false">D5*19</f>
        <v>0</v>
      </c>
      <c r="G5" s="26" t="n">
        <f aca="false">E5-F5</f>
        <v>0</v>
      </c>
      <c r="H5" s="25" t="n">
        <f aca="false">PV(Assumptions!$B$34,19,-C5)</f>
        <v>-0</v>
      </c>
      <c r="I5" s="26" t="n">
        <f aca="false">PV(Assumptions!$B$34,19,-(C5-D5))</f>
        <v>-0</v>
      </c>
    </row>
    <row r="6" customFormat="false" ht="15" hidden="false" customHeight="true" outlineLevel="0" collapsed="false">
      <c r="A6" s="31" t="s">
        <v>348</v>
      </c>
      <c r="B6" s="14" t="n">
        <v>54000000</v>
      </c>
      <c r="C6" s="25" t="n">
        <f aca="false">(Assumptions!$B$19-B6)*Assumptions!$B$4*Assumptions!$B$5</f>
        <v>13841.4945</v>
      </c>
      <c r="D6" s="25" t="n">
        <f aca="false">(Assumptions!$B$19-B6)*Assumptions!$B$4*Assumptions!$B$5*(1-Assumptions!$B$8)*(1-Assumptions!$B$7)*Assumptions!$B$6</f>
        <v>12412.49860782</v>
      </c>
      <c r="E6" s="25" t="n">
        <f aca="false">C6*19</f>
        <v>262988.3955</v>
      </c>
      <c r="F6" s="25" t="n">
        <f aca="false">D6*19</f>
        <v>235837.47354858</v>
      </c>
      <c r="G6" s="26" t="n">
        <f aca="false">E6-F6</f>
        <v>27150.92195142</v>
      </c>
      <c r="H6" s="25" t="n">
        <f aca="false">PV(Assumptions!$B$34,19,-C6)</f>
        <v>167278.902209816</v>
      </c>
      <c r="I6" s="26" t="n">
        <f aca="false">PV(Assumptions!$B$34,19,-(C6-D6))</f>
        <v>17269.8738641414</v>
      </c>
    </row>
    <row r="7" customFormat="false" ht="15" hidden="false" customHeight="true" outlineLevel="0" collapsed="false">
      <c r="A7" s="31" t="s">
        <v>106</v>
      </c>
      <c r="B7" s="14" t="n">
        <v>52150000</v>
      </c>
      <c r="C7" s="25" t="n">
        <f aca="false">(Assumptions!$B$19-B7)*Assumptions!$B$4*Assumptions!$B$5</f>
        <v>43410.507</v>
      </c>
      <c r="D7" s="25" t="n">
        <f aca="false">(Assumptions!$B$19-B7)*Assumptions!$B$4*Assumptions!$B$5*(1-Assumptions!$B$8)*(1-Assumptions!$B$7)*Assumptions!$B$6</f>
        <v>38928.80625732</v>
      </c>
      <c r="E7" s="25" t="n">
        <f aca="false">C7*19</f>
        <v>824799.633</v>
      </c>
      <c r="F7" s="25" t="n">
        <f aca="false">D7*19</f>
        <v>739647.31888908</v>
      </c>
      <c r="G7" s="26" t="n">
        <f aca="false">E7-F7</f>
        <v>85152.31411092</v>
      </c>
      <c r="H7" s="25" t="n">
        <f aca="false">PV(Assumptions!$B$34,19,-C7)</f>
        <v>524629.90577582</v>
      </c>
      <c r="I7" s="26" t="n">
        <f aca="false">PV(Assumptions!$B$34,19,-(C7-D7))</f>
        <v>54162.7914722956</v>
      </c>
    </row>
    <row r="8" customFormat="false" ht="15" hidden="false" customHeight="true" outlineLevel="0" collapsed="false">
      <c r="A8" s="31" t="s">
        <v>349</v>
      </c>
      <c r="B8" s="14" t="n">
        <v>52151000</v>
      </c>
      <c r="C8" s="25" t="n">
        <f aca="false">(Assumptions!$B$19-B8)*Assumptions!$B$4*Assumptions!$B$5</f>
        <v>43394.52375</v>
      </c>
      <c r="D8" s="25" t="n">
        <f aca="false">(Assumptions!$B$19-B8)*Assumptions!$B$4*Assumptions!$B$5*(1-Assumptions!$B$8)*(1-Assumptions!$B$7)*Assumptions!$B$6</f>
        <v>38914.47311805</v>
      </c>
      <c r="E8" s="25" t="n">
        <f aca="false">C8*19</f>
        <v>824495.95125</v>
      </c>
      <c r="F8" s="25" t="n">
        <f aca="false">D8*19</f>
        <v>739374.98924295</v>
      </c>
      <c r="G8" s="26" t="n">
        <f aca="false">E8-F8</f>
        <v>85120.9620070501</v>
      </c>
      <c r="H8" s="25" t="n">
        <f aca="false">PV(Assumptions!$B$34,19,-C8)</f>
        <v>524436.74307119</v>
      </c>
      <c r="I8" s="26" t="n">
        <f aca="false">PV(Assumptions!$B$34,19,-(C8-D8))</f>
        <v>54142.8493546696</v>
      </c>
    </row>
    <row r="9" customFormat="false" ht="15" hidden="false" customHeight="true" outlineLevel="0" collapsed="false">
      <c r="A9" s="31" t="s">
        <v>350</v>
      </c>
      <c r="B9" s="14" t="n">
        <v>50000000</v>
      </c>
      <c r="C9" s="25" t="n">
        <f aca="false">(Assumptions!$B$19-B9)*Assumptions!$B$4*Assumptions!$B$5</f>
        <v>77774.4945</v>
      </c>
      <c r="D9" s="25" t="n">
        <f aca="false">(Assumptions!$B$19-B9)*Assumptions!$B$4*Assumptions!$B$5*(1-Assumptions!$B$8)*(1-Assumptions!$B$7)*Assumptions!$B$6</f>
        <v>69745.05568782</v>
      </c>
      <c r="E9" s="25" t="n">
        <f aca="false">C9*19</f>
        <v>1477715.3955</v>
      </c>
      <c r="F9" s="25" t="n">
        <f aca="false">D9*19</f>
        <v>1325156.05806858</v>
      </c>
      <c r="G9" s="26" t="n">
        <f aca="false">E9-F9</f>
        <v>152559.33743142</v>
      </c>
      <c r="H9" s="25" t="n">
        <f aca="false">PV(Assumptions!$B$34,19,-C9)</f>
        <v>939929.720730906</v>
      </c>
      <c r="I9" s="26" t="n">
        <f aca="false">PV(Assumptions!$B$34,19,-(C9-D9))</f>
        <v>97038.3443682587</v>
      </c>
    </row>
    <row r="10" customFormat="false" ht="15" hidden="false" customHeight="true" outlineLevel="0" collapsed="false">
      <c r="A10" s="31" t="s">
        <v>351</v>
      </c>
      <c r="B10" s="14" t="n">
        <v>48000000</v>
      </c>
      <c r="C10" s="25" t="n">
        <f aca="false">(Assumptions!$B$19-B10)*Assumptions!$B$4*Assumptions!$B$5</f>
        <v>109740.9945</v>
      </c>
      <c r="D10" s="25" t="n">
        <f aca="false">(Assumptions!$B$19-B10)*Assumptions!$B$4*Assumptions!$B$5*(1-Assumptions!$B$8)*(1-Assumptions!$B$7)*Assumptions!$B$6</f>
        <v>98411.33422782</v>
      </c>
      <c r="E10" s="25" t="n">
        <f aca="false">C10*19</f>
        <v>2085078.8955</v>
      </c>
      <c r="F10" s="25" t="n">
        <f aca="false">D10*19</f>
        <v>1869815.35032858</v>
      </c>
      <c r="G10" s="26" t="n">
        <f aca="false">E10-F10</f>
        <v>215263.54517142</v>
      </c>
      <c r="H10" s="25" t="n">
        <f aca="false">PV(Assumptions!$B$34,19,-C10)</f>
        <v>1326255.12999145</v>
      </c>
      <c r="I10" s="26" t="n">
        <f aca="false">PV(Assumptions!$B$34,19,-(C10-D10))</f>
        <v>136922.579620317</v>
      </c>
    </row>
    <row r="11" customFormat="false" ht="15" hidden="false" customHeight="true" outlineLevel="0" collapsed="false">
      <c r="A11" s="31" t="s">
        <v>352</v>
      </c>
      <c r="B11" s="14" t="n">
        <v>46000000</v>
      </c>
      <c r="C11" s="25" t="n">
        <f aca="false">(Assumptions!$B$19-B11)*Assumptions!$B$4*Assumptions!$B$5</f>
        <v>141707.4945</v>
      </c>
      <c r="D11" s="25" t="n">
        <f aca="false">(Assumptions!$B$19-B11)*Assumptions!$B$4*Assumptions!$B$5*(1-Assumptions!$B$8)*(1-Assumptions!$B$7)*Assumptions!$B$6</f>
        <v>127077.61276782</v>
      </c>
      <c r="E11" s="25" t="n">
        <f aca="false">C11*19</f>
        <v>2692442.3955</v>
      </c>
      <c r="F11" s="25" t="n">
        <f aca="false">D11*19</f>
        <v>2414474.64258858</v>
      </c>
      <c r="G11" s="26" t="n">
        <f aca="false">E11-F11</f>
        <v>277967.752911421</v>
      </c>
      <c r="H11" s="25" t="n">
        <f aca="false">PV(Assumptions!$B$34,19,-C11)</f>
        <v>1712580.539252</v>
      </c>
      <c r="I11" s="26" t="n">
        <f aca="false">PV(Assumptions!$B$34,19,-(C11-D11))</f>
        <v>176806.814872376</v>
      </c>
    </row>
    <row r="12" customFormat="false" ht="15" hidden="false" customHeight="true" outlineLevel="0" collapsed="false">
      <c r="A12" s="31" t="s">
        <v>108</v>
      </c>
      <c r="B12" s="14" t="n">
        <v>43835000</v>
      </c>
      <c r="C12" s="25" t="n">
        <f aca="false">(Assumptions!$B$19-B12)*Assumptions!$B$4*Assumptions!$B$5</f>
        <v>176311.23075</v>
      </c>
      <c r="D12" s="25" t="n">
        <f aca="false">(Assumptions!$B$19-B12)*Assumptions!$B$4*Assumptions!$B$5*(1-Assumptions!$B$8)*(1-Assumptions!$B$7)*Assumptions!$B$6</f>
        <v>158108.85928737</v>
      </c>
      <c r="E12" s="25" t="n">
        <f aca="false">C12*19</f>
        <v>3349913.38425</v>
      </c>
      <c r="F12" s="25" t="n">
        <f aca="false">D12*19</f>
        <v>3004068.32646003</v>
      </c>
      <c r="G12" s="26" t="n">
        <f aca="false">E12-F12</f>
        <v>345845.05778997</v>
      </c>
      <c r="H12" s="25" t="n">
        <f aca="false">PV(Assumptions!$B$34,19,-C12)</f>
        <v>2130777.79477653</v>
      </c>
      <c r="I12" s="26" t="n">
        <f aca="false">PV(Assumptions!$B$34,19,-(C12-D12))</f>
        <v>219981.49953273</v>
      </c>
    </row>
    <row r="14" customFormat="false" ht="15" hidden="false" customHeight="true" outlineLevel="0" collapsed="false">
      <c r="A14" s="10" t="s">
        <v>353</v>
      </c>
      <c r="B14" s="10"/>
      <c r="C14" s="10"/>
      <c r="D14" s="10"/>
      <c r="E14" s="10"/>
      <c r="F14" s="10"/>
      <c r="G14" s="10"/>
      <c r="H14" s="10"/>
      <c r="I14" s="10"/>
    </row>
    <row r="15" customFormat="false" ht="30" hidden="false" customHeight="true" outlineLevel="0" collapsed="false">
      <c r="A15" s="21" t="s">
        <v>354</v>
      </c>
      <c r="B15" s="21"/>
      <c r="C15" s="21"/>
      <c r="D15" s="21"/>
      <c r="E15" s="21"/>
      <c r="F15" s="21"/>
      <c r="G15" s="21"/>
      <c r="H15" s="21"/>
      <c r="I15" s="21"/>
    </row>
    <row r="16" customFormat="false" ht="30" hidden="false" customHeight="true" outlineLevel="0" collapsed="false">
      <c r="A16" s="21" t="s">
        <v>355</v>
      </c>
      <c r="B16" s="21"/>
      <c r="C16" s="21"/>
      <c r="D16" s="21"/>
      <c r="E16" s="21"/>
      <c r="F16" s="21"/>
      <c r="G16" s="21"/>
      <c r="H16" s="21"/>
      <c r="I16" s="21"/>
    </row>
    <row r="17" customFormat="false" ht="30" hidden="false" customHeight="true" outlineLevel="0" collapsed="false">
      <c r="A17" s="21" t="s">
        <v>356</v>
      </c>
      <c r="B17" s="21"/>
      <c r="C17" s="21"/>
      <c r="D17" s="21"/>
      <c r="E17" s="21"/>
      <c r="F17" s="21"/>
      <c r="G17" s="21"/>
      <c r="H17" s="21"/>
      <c r="I17" s="21"/>
    </row>
    <row r="18" customFormat="false" ht="30" hidden="false" customHeight="true" outlineLevel="0" collapsed="false">
      <c r="A18" s="21" t="s">
        <v>357</v>
      </c>
      <c r="B18" s="21"/>
      <c r="C18" s="21"/>
      <c r="D18" s="21"/>
      <c r="E18" s="21"/>
      <c r="F18" s="21"/>
      <c r="G18" s="21"/>
      <c r="H18" s="21"/>
      <c r="I18" s="21"/>
    </row>
  </sheetData>
  <mergeCells count="7">
    <mergeCell ref="A1:I1"/>
    <mergeCell ref="A2:I2"/>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8"/>
    <col collapsed="false" customWidth="true" hidden="false" outlineLevel="0" max="4" min="3" style="1" width="50"/>
    <col collapsed="false" customWidth="true" hidden="false" outlineLevel="0" max="5" min="5" style="1" width="30"/>
  </cols>
  <sheetData>
    <row r="1" customFormat="false" ht="17.25" hidden="false" customHeight="true" outlineLevel="0" collapsed="false">
      <c r="A1" s="9" t="s">
        <v>358</v>
      </c>
      <c r="B1" s="9"/>
      <c r="C1" s="9"/>
      <c r="D1" s="9"/>
      <c r="E1" s="9"/>
    </row>
    <row r="2" customFormat="false" ht="31.5" hidden="false" customHeight="true" outlineLevel="0" collapsed="false">
      <c r="A2" s="17" t="s">
        <v>359</v>
      </c>
      <c r="B2" s="17"/>
      <c r="C2" s="17"/>
      <c r="D2" s="17"/>
      <c r="E2" s="17"/>
    </row>
    <row r="4" customFormat="false" ht="30" hidden="false" customHeight="true" outlineLevel="0" collapsed="false">
      <c r="A4" s="18" t="s">
        <v>360</v>
      </c>
      <c r="B4" s="18" t="s">
        <v>361</v>
      </c>
      <c r="C4" s="18" t="s">
        <v>362</v>
      </c>
      <c r="D4" s="18" t="s">
        <v>363</v>
      </c>
      <c r="E4" s="18" t="s">
        <v>364</v>
      </c>
    </row>
    <row r="5" customFormat="false" ht="90" hidden="false" customHeight="true" outlineLevel="0" collapsed="false">
      <c r="A5" s="96" t="n">
        <v>1</v>
      </c>
      <c r="B5" s="97" t="s">
        <v>365</v>
      </c>
      <c r="C5" s="98" t="s">
        <v>366</v>
      </c>
      <c r="D5" s="98" t="s">
        <v>367</v>
      </c>
      <c r="E5" s="96" t="s">
        <v>368</v>
      </c>
    </row>
    <row r="6" customFormat="false" ht="90" hidden="false" customHeight="true" outlineLevel="0" collapsed="false">
      <c r="A6" s="96" t="n">
        <v>2</v>
      </c>
      <c r="B6" s="97" t="s">
        <v>369</v>
      </c>
      <c r="C6" s="98" t="s">
        <v>370</v>
      </c>
      <c r="D6" s="98" t="s">
        <v>371</v>
      </c>
      <c r="E6" s="96" t="s">
        <v>368</v>
      </c>
    </row>
    <row r="7" customFormat="false" ht="90" hidden="false" customHeight="true" outlineLevel="0" collapsed="false">
      <c r="A7" s="96" t="n">
        <v>3</v>
      </c>
      <c r="B7" s="97" t="s">
        <v>372</v>
      </c>
      <c r="C7" s="98" t="s">
        <v>373</v>
      </c>
      <c r="D7" s="98" t="s">
        <v>374</v>
      </c>
      <c r="E7" s="96" t="s">
        <v>368</v>
      </c>
    </row>
    <row r="8" customFormat="false" ht="90" hidden="false" customHeight="true" outlineLevel="0" collapsed="false">
      <c r="A8" s="96" t="n">
        <v>4</v>
      </c>
      <c r="B8" s="97" t="s">
        <v>375</v>
      </c>
      <c r="C8" s="98" t="s">
        <v>376</v>
      </c>
      <c r="D8" s="98" t="s">
        <v>377</v>
      </c>
      <c r="E8" s="96" t="s">
        <v>368</v>
      </c>
    </row>
    <row r="9" customFormat="false" ht="90" hidden="false" customHeight="true" outlineLevel="0" collapsed="false">
      <c r="A9" s="99" t="n">
        <v>5</v>
      </c>
      <c r="B9" s="100" t="s">
        <v>378</v>
      </c>
      <c r="C9" s="101" t="s">
        <v>379</v>
      </c>
      <c r="D9" s="101" t="s">
        <v>380</v>
      </c>
      <c r="E9" s="99" t="s">
        <v>381</v>
      </c>
    </row>
    <row r="10" customFormat="false" ht="90" hidden="false" customHeight="true" outlineLevel="0" collapsed="false">
      <c r="A10" s="99" t="n">
        <v>6</v>
      </c>
      <c r="B10" s="100" t="s">
        <v>382</v>
      </c>
      <c r="C10" s="101" t="s">
        <v>383</v>
      </c>
      <c r="D10" s="101" t="s">
        <v>384</v>
      </c>
      <c r="E10" s="99" t="s">
        <v>381</v>
      </c>
    </row>
    <row r="11" customFormat="false" ht="90" hidden="false" customHeight="true" outlineLevel="0" collapsed="false">
      <c r="A11" s="99" t="n">
        <v>7</v>
      </c>
      <c r="B11" s="100" t="s">
        <v>385</v>
      </c>
      <c r="C11" s="101" t="s">
        <v>386</v>
      </c>
      <c r="D11" s="101" t="s">
        <v>387</v>
      </c>
      <c r="E11" s="99" t="s">
        <v>381</v>
      </c>
    </row>
    <row r="12" customFormat="false" ht="90" hidden="false" customHeight="true" outlineLevel="0" collapsed="false">
      <c r="A12" s="102" t="n">
        <v>8</v>
      </c>
      <c r="B12" s="27" t="s">
        <v>388</v>
      </c>
      <c r="C12" s="31" t="s">
        <v>389</v>
      </c>
      <c r="D12" s="31" t="s">
        <v>390</v>
      </c>
      <c r="E12" s="102" t="s">
        <v>391</v>
      </c>
    </row>
    <row r="13" customFormat="false" ht="90" hidden="false" customHeight="true" outlineLevel="0" collapsed="false">
      <c r="A13" s="96" t="n">
        <v>9</v>
      </c>
      <c r="B13" s="97" t="s">
        <v>392</v>
      </c>
      <c r="C13" s="98" t="s">
        <v>393</v>
      </c>
      <c r="D13" s="98" t="s">
        <v>394</v>
      </c>
      <c r="E13" s="96" t="s">
        <v>368</v>
      </c>
    </row>
    <row r="14" customFormat="false" ht="90" hidden="false" customHeight="true" outlineLevel="0" collapsed="false">
      <c r="A14" s="102" t="n">
        <v>10</v>
      </c>
      <c r="B14" s="27" t="s">
        <v>395</v>
      </c>
      <c r="C14" s="31" t="s">
        <v>396</v>
      </c>
      <c r="D14" s="31" t="s">
        <v>397</v>
      </c>
      <c r="E14" s="102" t="s">
        <v>391</v>
      </c>
    </row>
    <row r="15" customFormat="false" ht="129.75" hidden="false" customHeight="true" outlineLevel="0" collapsed="false">
      <c r="A15" s="96" t="n">
        <v>11</v>
      </c>
      <c r="B15" s="97" t="s">
        <v>398</v>
      </c>
      <c r="C15" s="98" t="s">
        <v>399</v>
      </c>
      <c r="D15" s="98" t="s">
        <v>400</v>
      </c>
      <c r="E15" s="96" t="s">
        <v>368</v>
      </c>
    </row>
    <row r="16" customFormat="false" ht="90" hidden="false" customHeight="true" outlineLevel="0" collapsed="false">
      <c r="A16" s="102" t="n">
        <v>12</v>
      </c>
      <c r="B16" s="27" t="s">
        <v>401</v>
      </c>
      <c r="C16" s="31" t="s">
        <v>402</v>
      </c>
      <c r="D16" s="31" t="s">
        <v>403</v>
      </c>
      <c r="E16" s="102" t="s">
        <v>391</v>
      </c>
    </row>
    <row r="17" customFormat="false" ht="90" hidden="false" customHeight="true" outlineLevel="0" collapsed="false">
      <c r="A17" s="99" t="n">
        <v>13</v>
      </c>
      <c r="B17" s="100" t="s">
        <v>404</v>
      </c>
      <c r="C17" s="101" t="s">
        <v>405</v>
      </c>
      <c r="D17" s="101" t="s">
        <v>406</v>
      </c>
      <c r="E17" s="99" t="s">
        <v>381</v>
      </c>
    </row>
    <row r="18" customFormat="false" ht="109.5" hidden="false" customHeight="true" outlineLevel="0" collapsed="false">
      <c r="A18" s="103" t="n">
        <v>14</v>
      </c>
      <c r="B18" s="98" t="s">
        <v>407</v>
      </c>
      <c r="C18" s="98" t="s">
        <v>408</v>
      </c>
      <c r="D18" s="98" t="s">
        <v>409</v>
      </c>
      <c r="E18" s="103" t="s">
        <v>368</v>
      </c>
    </row>
    <row r="19" customFormat="false" ht="109.5" hidden="false" customHeight="true" outlineLevel="0" collapsed="false">
      <c r="A19" s="104" t="n">
        <v>15</v>
      </c>
      <c r="B19" s="105" t="s">
        <v>410</v>
      </c>
      <c r="C19" s="105" t="s">
        <v>411</v>
      </c>
      <c r="D19" s="105" t="s">
        <v>412</v>
      </c>
      <c r="E19" s="104" t="s">
        <v>391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2026-05-12T20:36:12Z</dcterms:created>
  <dc:creator>openpyxl</dc:creator>
  <dc:description/>
  <dc:language>en-US</dc:language>
  <cp:lastModifiedBy/>
  <dcterms:modified xsi:type="dcterms:W3CDTF">2026-05-12T22:49:18Z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